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 Usuario" sheetId="1" r:id="rId4"/>
    <sheet state="visible" name="Requisito Equipos" sheetId="2" r:id="rId5"/>
    <sheet state="visible" name="recurso humano" sheetId="3" r:id="rId6"/>
    <sheet state="visible" name="Diagrama de Gantt" sheetId="4" r:id="rId7"/>
  </sheets>
  <definedNames/>
  <calcPr/>
  <extLst>
    <ext uri="GoogleSheetsCustomDataVersion2">
      <go:sheetsCustomData xmlns:go="http://customooxmlschemas.google.com/" r:id="rId8" roundtripDataChecksum="98vn8M6ovlu4Gtxd36Nvjms/id3G7nmtiUMw8db9A4A="/>
    </ext>
  </extLst>
</workbook>
</file>

<file path=xl/sharedStrings.xml><?xml version="1.0" encoding="utf-8"?>
<sst xmlns="http://schemas.openxmlformats.org/spreadsheetml/2006/main" count="636" uniqueCount="521">
  <si>
    <t xml:space="preserve">Requisitos de Hardware Usuarios </t>
  </si>
  <si>
    <t>Categoría</t>
  </si>
  <si>
    <t>Mínima</t>
  </si>
  <si>
    <t>Precio</t>
  </si>
  <si>
    <t>Alternativa</t>
  </si>
  <si>
    <t>Recomendada</t>
  </si>
  <si>
    <t xml:space="preserve">Referencia </t>
  </si>
  <si>
    <t>Dispositivo</t>
  </si>
  <si>
    <t>Smartphone Android 6 o iPhone iOS 11</t>
  </si>
  <si>
    <t>Smartphone Android 10 o iPhone iOS 13</t>
  </si>
  <si>
    <t>Smartphone Android 12+ o iPhone iOS 15</t>
  </si>
  <si>
    <t>World Bank (2023): Más del 60% de la población mundial tiene acceso a internet con variadas velocidades.</t>
  </si>
  <si>
    <t>PC Gama baja 1 GB RAM, dual-core, HDD básico</t>
  </si>
  <si>
    <t>PC Gama media con 4 GB RAM, Intel Core i3 / AMD A6</t>
  </si>
  <si>
    <t>PC Gama alta 8 GB RAM, Intel Core i5 / AMD Ryzen 5 o superior</t>
  </si>
  <si>
    <t>Gartner (2022): En Latinoamérica, equipos varían de gama baja a alta, con crecimiento en capacidad y rendimiento.</t>
  </si>
  <si>
    <t>Sistema Operativo</t>
  </si>
  <si>
    <t>Windows 7macOS 10.10Android 6iOS 11</t>
  </si>
  <si>
    <t>Gratis (si ya está instalado)</t>
  </si>
  <si>
    <t>Windows 10macOS 11Android 10iOS 13</t>
  </si>
  <si>
    <t>Gratis (preinstalado)</t>
  </si>
  <si>
    <t>Windows 11macOS 12+Android 12+iOS 15+</t>
  </si>
  <si>
    <t>Statista (2023): Windows, macOS, Android e iOS son los sistemas predominantes para acceso web.</t>
  </si>
  <si>
    <t>Procesador</t>
  </si>
  <si>
    <t>Dual Core 1.6 GHz</t>
  </si>
  <si>
    <t>Intel Core i3 / AMD A6</t>
  </si>
  <si>
    <t>Intel Core i5 / AMD Ryzen 5 o superior</t>
  </si>
  <si>
    <t>Intel, AMD y mercado local indican disponibilidad creciente de procesadores dual-core a i5 y memorias DDR3 a DDR5.</t>
  </si>
  <si>
    <t>Memoria RAM</t>
  </si>
  <si>
    <t>1 GB DDR2 / DDR3 usada (PC básicos)</t>
  </si>
  <si>
    <t>RAM 4 GB (DDR4 nueva)</t>
  </si>
  <si>
    <t>8 GB</t>
  </si>
  <si>
    <t>Pantalla</t>
  </si>
  <si>
    <t>1024x768</t>
  </si>
  <si>
    <t>Incluida / sin costo adicional</t>
  </si>
  <si>
    <t>Pantalla 1280x720 (HD)</t>
  </si>
  <si>
    <t>1920x1080 (Full HD) o superior</t>
  </si>
  <si>
    <t>W3Schools (2024): Resoluciones desde 1024x768 hasta Full HD con navegadores actualizados dominan la navegación.</t>
  </si>
  <si>
    <t>Navegador</t>
  </si>
  <si>
    <t>Chrome, Firefox versión 80+</t>
  </si>
  <si>
    <t>Gratis</t>
  </si>
  <si>
    <t>Edge Chrome, Safari moderno, Opera</t>
  </si>
  <si>
    <t>Chrome actualizado, Firefox actualizado, Safari 16+</t>
  </si>
  <si>
    <t>StatCounter (2024): Chrome, Firefox, Edge, Safari y Opera lideran el mercado global de navegadores web.</t>
  </si>
  <si>
    <t>Conexión a Internet</t>
  </si>
  <si>
    <t>512 Kbps (básico)</t>
  </si>
  <si>
    <t>1 Mbps (estable)</t>
  </si>
  <si>
    <t>2 Mbps o más (fluida, para multimedia)</t>
  </si>
  <si>
    <t>Speedtest Global Index (2024): Velocidades de 512 Kbps a 2 Mbps cubren desde navegación básica a multimedia fluida.</t>
  </si>
  <si>
    <t>Periféricos</t>
  </si>
  <si>
    <t>Teclado y mouse estándar</t>
  </si>
  <si>
    <t>Teclado/mouse inalámbrico</t>
  </si>
  <si>
    <t>Ergonómicos o retroiluminados</t>
  </si>
  <si>
    <t>Mercado colombiano (2024): Periféricos estándar a ergonómicos disponibles para usuarios y desarrolladores.</t>
  </si>
  <si>
    <t>Compatibilidad móvil</t>
  </si>
  <si>
    <t>Solo vista móvil</t>
  </si>
  <si>
    <t>Vista responsive funcional</t>
  </si>
  <si>
    <t>App dedicada o PWA + responsive</t>
  </si>
  <si>
    <t>Gratis (desarrollo incluido)</t>
  </si>
  <si>
    <t>Google Developers: Diseño responsive y apps progresivas mejoran la experiencia móvil actual.</t>
  </si>
  <si>
    <t>Otros requisitos</t>
  </si>
  <si>
    <t>Aceptar cookies Cuenta de correo</t>
  </si>
  <si>
    <t>Login social + políticas GDPR + soporte multilenguaje</t>
  </si>
  <si>
    <t>GDPR y políticas globales regulan privacidad, cookies, login social y multilenguaje en plataformas web.</t>
  </si>
  <si>
    <t>Cuenta de correo (registro/login)</t>
  </si>
  <si>
    <t>Aceptar cookies</t>
  </si>
  <si>
    <t xml:space="preserve">Mejor provedor de hardware </t>
  </si>
  <si>
    <t>Categoría / Equipo</t>
  </si>
  <si>
    <t>Especificación Recomendada</t>
  </si>
  <si>
    <t xml:space="preserve">Precio </t>
  </si>
  <si>
    <t>Descripción</t>
  </si>
  <si>
    <t>Proveedor Sugerido</t>
  </si>
  <si>
    <t>¿Por qué este proveedor?</t>
  </si>
  <si>
    <t>PC Gama Baja</t>
  </si>
  <si>
    <t>1 GB RAM, procesador dual-core, HDD básico, pantalla 1024x768</t>
  </si>
  <si>
    <t>$1.000.000 – $1.300.000</t>
  </si>
  <si>
    <t>Equipo básico para navegación y tareas ligeras.</t>
  </si>
  <si>
    <t>HP 255 G7, Lenovo IdeaPad 1</t>
  </si>
  <si>
    <t>HP y Lenovo ofrecen equipos confiables, económicos y con soporte técnico accesible para equipos de entrada.</t>
  </si>
  <si>
    <t>PC Gama Media</t>
  </si>
  <si>
    <t>4 GB RAM, Intel Core i3 / AMD A6, pantalla HD</t>
  </si>
  <si>
    <t>$1.200.000 – $1.800.000</t>
  </si>
  <si>
    <t>Rendimiento adecuado para uso diario, clases, oficina y navegación fluida.</t>
  </si>
  <si>
    <t>Lenovo V14, Dell Inspiron, HP 240 G8</t>
  </si>
  <si>
    <t>Estas marcas ofrecen buen balance entre precio y rendimiento, con durabilidad y repuestos disponibles localmente.</t>
  </si>
  <si>
    <t>PC Gama Alta</t>
  </si>
  <si>
    <t>8 GB RAM, Intel Core i5 / AMD Ryzen 5, SSD, pantalla Full HD</t>
  </si>
  <si>
    <t>$3.500.000 – $5.500.000</t>
  </si>
  <si>
    <t>Excelente para multitarea, productividad exigente, desarrollo y multimedia.</t>
  </si>
  <si>
    <t>ASUS VivoBook, Acer Aspire 5, MacBook Air M1/M2</t>
  </si>
  <si>
    <t>ASUS y Acer brindan alto rendimiento a buen precio; Apple destaca por eficiencia y durabilidad en gama alta.</t>
  </si>
  <si>
    <t>Teclado y mouse ergonómicos o retroiluminados</t>
  </si>
  <si>
    <t>$250.000 – $400.000</t>
  </si>
  <si>
    <t>Para comodidad prolongada y mejor experiencia de uso.</t>
  </si>
  <si>
    <t>Logitech, Razer, Microsoft</t>
  </si>
  <si>
    <t>Marcas reconocidas por su calidad, ergonomía y soporte de software para productividad o gaming.</t>
  </si>
  <si>
    <t>Smartphone</t>
  </si>
  <si>
    <t>Android 12+ o iOS 15+</t>
  </si>
  <si>
    <t>$2.500.000 – $4.500.000</t>
  </si>
  <si>
    <t>Teléfonos modernos, compatibles con apps y navegación actual.</t>
  </si>
  <si>
    <t>Samsung Galaxy A54/S23, iPhone 12/13, Xiaomi 12T</t>
  </si>
  <si>
    <t>Modelos actualizados, con buen soporte de actualizaciones, cámaras y rendimiento confiable.</t>
  </si>
  <si>
    <t>Conectividad</t>
  </si>
  <si>
    <t>2 Mbps o más (fluida, multimedia)</t>
  </si>
  <si>
    <t>$90.000 – $120.000 / mes</t>
  </si>
  <si>
    <t>Internet fluido para navegación, plataformas y multimedia.</t>
  </si>
  <si>
    <t>Tigo, Claro Hogar, Movistar Fibra, ETB, según cobertura local</t>
  </si>
  <si>
    <t>Principales proveedores nacionales con amplia cobertura y planes variados según región.</t>
  </si>
  <si>
    <t>Requisitos de Software Usuario</t>
  </si>
  <si>
    <t>Referencia</t>
  </si>
  <si>
    <t>Navegador Web</t>
  </si>
  <si>
    <t>Chrome o Firefox versión 80+</t>
  </si>
  <si>
    <t>Edge Chromium, Safari moderno, Opera</t>
  </si>
  <si>
    <t>Aplicación Móvil</t>
  </si>
  <si>
    <t>Vista móvil básica (sitio web accesible)</t>
  </si>
  <si>
    <t>Sitio web responsive funcional</t>
  </si>
  <si>
    <t>App dedicada o PWA + diseño responsive</t>
  </si>
  <si>
    <t>Gratis (si desarrollada)</t>
  </si>
  <si>
    <t>512 Kbps (navegación básica)</t>
  </si>
  <si>
    <t>$30.000 – $50.000 / mes</t>
  </si>
  <si>
    <t>1 Mbps (navegación fluida y videollamadas)</t>
  </si>
  <si>
    <t>$60.000 – $80.000 / mes</t>
  </si>
  <si>
    <t>2 Mbps o más (fluida, para multimedia y educación virtual)</t>
  </si>
  <si>
    <t>Mejor provedor de Sofware</t>
  </si>
  <si>
    <t>Categoría / Software</t>
  </si>
  <si>
    <t>Precio (COP)</t>
  </si>
  <si>
    <t>Navegadores modernos, seguros y compatibles con tecnologías web actuales.</t>
  </si>
  <si>
    <t>Google Chrome, Mozilla Firefox, Apple Safari</t>
  </si>
  <si>
    <t>Son los navegadores más usados y actualizados, con soporte activo, alta compatibilidad y seguridad.</t>
  </si>
  <si>
    <t>Gratis (para el usuario)</t>
  </si>
  <si>
    <t>Mejora la experiencia en smartphones; permite acceso fluido y adaptado.</t>
  </si>
  <si>
    <t>Desarrollada internamente o por agencias como Globant, PSL, Endava</t>
  </si>
  <si>
    <t>Estas agencias tienen experiencia comprobada en desarrollo de apps escalables, seguras y de alta calidad.</t>
  </si>
  <si>
    <t>2 Mbps o más (fluido para multimedia, clases virtuales, etc.)</t>
  </si>
  <si>
    <t>Conexión rápida para plataformas web, videollamadas y contenido educativo.</t>
  </si>
  <si>
    <t>Claro, Tigo, Movistar, ETB, según cobertura local</t>
  </si>
  <si>
    <t>Principales ISPs del país con cobertura nacional, distintos planes y buena infraestructura para servicios digitales.</t>
  </si>
  <si>
    <t>Requisitos de los Programadores - Desarrolladores-hardware</t>
  </si>
  <si>
    <t>recursos</t>
  </si>
  <si>
    <t>minima</t>
  </si>
  <si>
    <t>precio</t>
  </si>
  <si>
    <t>alternativa calidad precio</t>
  </si>
  <si>
    <t>costo</t>
  </si>
  <si>
    <t>recomendada</t>
  </si>
  <si>
    <t>recomendaciones</t>
  </si>
  <si>
    <t>1. Dispositivos Principales</t>
  </si>
  <si>
    <t>Computadora de Escritorio</t>
  </si>
  <si>
    <t>CPU básico i5 / 8GB / 256GB SSD</t>
  </si>
  <si>
    <t>Ryzen 7 / 16GB / 512GB SSD</t>
  </si>
  <si>
    <t>Workstation i7/Ryzen 9 / 32GB / GPU</t>
  </si>
  <si>
    <t>Requisitos recomendados por JetBrains, Microsoft y GitHub para entornos de desarrollo modernos (IDE + multitarea).</t>
  </si>
  <si>
    <t>Laptop/Portátil</t>
  </si>
  <si>
    <t>Lenovo IdeaPad 1</t>
  </si>
  <si>
    <t>HP Pavilion / Core i5</t>
  </si>
  <si>
    <t>MacBook Air M2 / Dell XPS</t>
  </si>
  <si>
    <r>
      <rPr>
        <rFont val="Arial"/>
        <sz val="10.0"/>
      </rPr>
      <t xml:space="preserve">Comparativas de portátiles para desarrolladores – </t>
    </r>
    <r>
      <rPr>
        <rFont val="Arial"/>
        <color rgb="FF1155CC"/>
        <sz val="10.0"/>
        <u/>
      </rPr>
      <t>Xataka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TechRadar</t>
    </r>
    <r>
      <rPr>
        <rFont val="Arial"/>
        <color rgb="FF000000"/>
        <sz val="10.0"/>
      </rPr>
      <t>.</t>
    </r>
  </si>
  <si>
    <t>ZTE Nubia Music 2</t>
  </si>
  <si>
    <t>Samsung A24 / Redmi Note 13</t>
  </si>
  <si>
    <t>Galaxy S23 FE / iPhone SE</t>
  </si>
  <si>
    <r>
      <rPr>
        <rFont val="Arial"/>
        <sz val="10.0"/>
      </rPr>
      <t xml:space="preserve">Necesario para pruebas de apps, autenticación 2FA, control remoto – documentado por </t>
    </r>
    <r>
      <rPr>
        <rFont val="Arial"/>
        <color rgb="FF1155CC"/>
        <sz val="10.0"/>
        <u/>
      </rPr>
      <t>Android Dev Docs</t>
    </r>
    <r>
      <rPr>
        <rFont val="Arial"/>
        <color rgb="FF000000"/>
        <sz val="10.0"/>
      </rPr>
      <t>.</t>
    </r>
  </si>
  <si>
    <t>2. Componentes de Hardware</t>
  </si>
  <si>
    <t>Monitor</t>
  </si>
  <si>
    <t>Caixun 24" FHD</t>
  </si>
  <si>
    <t>HP 24" IPS 100Hz</t>
  </si>
  <si>
    <t>Dell SE2419HX (IPS)</t>
  </si>
  <si>
    <r>
      <rPr>
        <rFont val="Arial"/>
        <sz val="10.0"/>
      </rPr>
      <t xml:space="preserve">Recomendaciones de productividad visual y cuidado ocular por parte de </t>
    </r>
    <r>
      <rPr>
        <rFont val="Arial"/>
        <color rgb="FF1155CC"/>
        <sz val="10.0"/>
        <u/>
      </rPr>
      <t>Dell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Asus</t>
    </r>
    <r>
      <rPr>
        <rFont val="Arial"/>
        <color rgb="FF000000"/>
        <sz val="10.0"/>
      </rPr>
      <t>.</t>
    </r>
  </si>
  <si>
    <t>Teclado</t>
  </si>
  <si>
    <t>Básico USB</t>
  </si>
  <si>
    <t>Logitech K120</t>
  </si>
  <si>
    <t>Mecánico retroiluminado</t>
  </si>
  <si>
    <r>
      <rPr>
        <rFont val="Arial"/>
        <sz val="10.0"/>
      </rPr>
      <t xml:space="preserve">Ergonomía recomendada por desarrolladores y estudios sobre RSI – </t>
    </r>
    <r>
      <rPr>
        <rFont val="Arial"/>
        <color rgb="FF1155CC"/>
        <sz val="10.0"/>
        <u/>
      </rPr>
      <t>Logitech Ergonomics</t>
    </r>
    <r>
      <rPr>
        <rFont val="Arial"/>
        <color rgb="FF000000"/>
        <sz val="10.0"/>
      </rPr>
      <t>.</t>
    </r>
  </si>
  <si>
    <t>Mouse</t>
  </si>
  <si>
    <t>Óptico básico</t>
  </si>
  <si>
    <t>Logitech M170 inalámbrico</t>
  </si>
  <si>
    <t>Gaming / Ergonómico Logitech MX</t>
  </si>
  <si>
    <t>Precisión y salud postural – respaldado por Razer Ergonomic Studies.</t>
  </si>
  <si>
    <t>Cámara Web (opcional)</t>
  </si>
  <si>
    <t>Básica 720p</t>
  </si>
  <si>
    <t>Logitech C270 1080p</t>
  </si>
  <si>
    <t>Logitech Brio 4K</t>
  </si>
  <si>
    <r>
      <rPr>
        <rFont val="Arial"/>
        <sz val="10.0"/>
      </rPr>
      <t xml:space="preserve">Uso común en trabajo remoto según </t>
    </r>
    <r>
      <rPr>
        <rFont val="Arial"/>
        <color rgb="FF1155CC"/>
        <sz val="10.0"/>
        <u/>
      </rPr>
      <t>Stack Overflow Developer Survey</t>
    </r>
    <r>
      <rPr>
        <rFont val="Arial"/>
        <color rgb="FF000000"/>
        <sz val="10.0"/>
      </rPr>
      <t>.</t>
    </r>
  </si>
  <si>
    <t>Micrófono/Audífonos</t>
  </si>
  <si>
    <t>Manos libres incluidos</t>
  </si>
  <si>
    <t>Audífonos con micrófono Genius</t>
  </si>
  <si>
    <t>Micrófono condenser + audífonos pro</t>
  </si>
  <si>
    <r>
      <rPr>
        <rFont val="Arial"/>
        <sz val="10.0"/>
      </rPr>
      <t xml:space="preserve">Necesarios para equipos distribuidos – respaldado por guías de </t>
    </r>
    <r>
      <rPr>
        <rFont val="Arial"/>
        <color rgb="FF1155CC"/>
        <sz val="10.0"/>
        <u/>
      </rPr>
      <t>GitLab Remote Playbook</t>
    </r>
    <r>
      <rPr>
        <rFont val="Arial"/>
        <color rgb="FF000000"/>
        <sz val="10.0"/>
      </rPr>
      <t>.</t>
    </r>
  </si>
  <si>
    <t>3. Recursos de Hardware</t>
  </si>
  <si>
    <t>8GB DDR4</t>
  </si>
  <si>
    <t>16GB DDR4</t>
  </si>
  <si>
    <t>32GB DDR5</t>
  </si>
  <si>
    <t>Requisitos mínimos y recomendados de IDEs como Android Studio, Visual Studio y máquinas virtuales.</t>
  </si>
  <si>
    <t>Intel i3 / Ryzen 3</t>
  </si>
  <si>
    <t>Intel i5 / Ryzen 5</t>
  </si>
  <si>
    <t>Intel i7/i9 / Ryzen 7/9</t>
  </si>
  <si>
    <r>
      <rPr>
        <rFont val="Arial"/>
        <sz val="10.0"/>
      </rPr>
      <t xml:space="preserve">Comparativas de rendimiento en tareas de compilación y ejecución – </t>
    </r>
    <r>
      <rPr>
        <rFont val="Arial"/>
        <color rgb="FF1155CC"/>
        <sz val="10.0"/>
        <u/>
      </rPr>
      <t>PassMark</t>
    </r>
    <r>
      <rPr>
        <rFont val="Arial"/>
        <color rgb="FF000000"/>
        <sz val="10.0"/>
      </rPr>
      <t>.</t>
    </r>
  </si>
  <si>
    <t>Almacenamiento</t>
  </si>
  <si>
    <t>256GB SSD</t>
  </si>
  <si>
    <t>512GB SSD</t>
  </si>
  <si>
    <t>1TB NVMe SSD</t>
  </si>
  <si>
    <r>
      <rPr>
        <rFont val="Arial"/>
        <sz val="10.0"/>
      </rPr>
      <t xml:space="preserve">Mejora significativa en tiempos de carga de proyectos y sistema operativo – </t>
    </r>
    <r>
      <rPr>
        <rFont val="Arial"/>
        <color rgb="FF1155CC"/>
        <sz val="10.0"/>
        <u/>
      </rPr>
      <t>TechSpot</t>
    </r>
    <r>
      <rPr>
        <rFont val="Arial"/>
        <color rgb="FF000000"/>
        <sz val="10.0"/>
      </rPr>
      <t>.</t>
    </r>
  </si>
  <si>
    <t>Tarjeta Gráfica</t>
  </si>
  <si>
    <t>Integrada</t>
  </si>
  <si>
    <t>RTX 4060</t>
  </si>
  <si>
    <t>RTX 3070 / RX 7900</t>
  </si>
  <si>
    <r>
      <rPr>
        <rFont val="Arial"/>
        <sz val="10.0"/>
      </rPr>
      <t xml:space="preserve">Necesaria para entornos de IA, modelado 3D, y juegos – Recomendado por </t>
    </r>
    <r>
      <rPr>
        <rFont val="Arial"/>
        <color rgb="FF1155CC"/>
        <sz val="10.0"/>
        <u/>
      </rPr>
      <t>NVIDIA Dev</t>
    </r>
    <r>
      <rPr>
        <rFont val="Arial"/>
        <color rgb="FF000000"/>
        <sz val="10.0"/>
      </rPr>
      <t>.</t>
    </r>
  </si>
  <si>
    <t>4. Conectividad</t>
  </si>
  <si>
    <t>Internet</t>
  </si>
  <si>
    <t>Básico hogar 30 Mbps</t>
  </si>
  <si>
    <t>100 Mbps fibra óptica</t>
  </si>
  <si>
    <t>300+ Mbps dedicada</t>
  </si>
  <si>
    <r>
      <rPr>
        <rFont val="Arial"/>
        <sz val="10.0"/>
      </rPr>
      <t xml:space="preserve">Estabilidad crítica para herramientas en la nube y comunicación remota – </t>
    </r>
    <r>
      <rPr>
        <rFont val="Arial"/>
        <color rgb="FF1155CC"/>
        <sz val="10.0"/>
        <u/>
      </rPr>
      <t>GitHub Docs</t>
    </r>
    <r>
      <rPr>
        <rFont val="Arial"/>
        <color rgb="FF000000"/>
        <sz val="10.0"/>
      </rPr>
      <t>.</t>
    </r>
  </si>
  <si>
    <t>Puertos USB</t>
  </si>
  <si>
    <t>Hub 4 puertos USB 2.0</t>
  </si>
  <si>
    <t>Hub 3.0 con lector SD</t>
  </si>
  <si>
    <t>Docking station multi-puerto</t>
  </si>
  <si>
    <r>
      <rPr>
        <rFont val="Arial"/>
        <sz val="10.0"/>
      </rPr>
      <t xml:space="preserve">Práctico en estaciones de trabajo múltiples – </t>
    </r>
    <r>
      <rPr>
        <rFont val="Arial"/>
        <color rgb="FF1155CC"/>
        <sz val="10.0"/>
        <u/>
      </rPr>
      <t>Anker USB Hub Reviews</t>
    </r>
    <r>
      <rPr>
        <rFont val="Arial"/>
        <color rgb="FF000000"/>
        <sz val="10.0"/>
      </rPr>
      <t>.</t>
    </r>
  </si>
  <si>
    <t>Conectividad inalámbrica</t>
  </si>
  <si>
    <t>USB Wi-Fi</t>
  </si>
  <si>
    <t>Wi-Fi + Bluetooth adaptador</t>
  </si>
  <si>
    <t>Integrado en tarjeta madre / portátil</t>
  </si>
  <si>
    <t>—</t>
  </si>
  <si>
    <t>Necesaria para movilidad, sincronización y redes – Estándares IEEE 802.11 / Bluetooth.</t>
  </si>
  <si>
    <t>total:</t>
  </si>
  <si>
    <t>Fuente / Tipo</t>
  </si>
  <si>
    <t>marcas/empresas</t>
  </si>
  <si>
    <t>Enlaces</t>
  </si>
  <si>
    <t>Páginas oficiales de fabricantes de hardware</t>
  </si>
  <si>
    <t>Lenovo, HP, Dell, ASUS</t>
  </si>
  <si>
    <r>
      <rPr>
        <rFont val="Arial"/>
        <color rgb="FF1155CC"/>
        <sz val="10.0"/>
        <u/>
      </rPr>
      <t>https://www.lenovo.com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https://www.hp.com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https://www.dell.com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https://www.asus.com</t>
    </r>
  </si>
  <si>
    <t>Sitios especializados en tecnología y reviews</t>
  </si>
  <si>
    <t>TechRadar, Xataka, AnandTech</t>
  </si>
  <si>
    <r>
      <rPr>
        <rFont val="Arial"/>
        <color rgb="FF1155CC"/>
        <sz val="10.0"/>
        <u/>
      </rPr>
      <t>https://www.techradar.com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https://www.xataka.com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https://www.anandtech.com</t>
    </r>
  </si>
  <si>
    <t>Foros y comunidades de desarrolladores</t>
  </si>
  <si>
    <t>Stack Overflow, Reddit (r/tech)</t>
  </si>
  <si>
    <r>
      <rPr>
        <rFont val="Arial"/>
        <color rgb="FF1155CC"/>
        <sz val="10.0"/>
        <u/>
      </rPr>
      <t>https://stackoverflow.com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https://www.reddit.com/r/tech</t>
    </r>
  </si>
  <si>
    <t>Documentación oficial de herramientas de desarrollo</t>
  </si>
  <si>
    <t>JetBrains, Microsoft, Android Devs</t>
  </si>
  <si>
    <r>
      <rPr>
        <rFont val="Arial"/>
        <color rgb="FF1155CC"/>
        <sz val="10.0"/>
        <u/>
      </rPr>
      <t>https://www.jetbrains.com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https://learn.microsoft.com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https://developer.android.com</t>
    </r>
  </si>
  <si>
    <t>Tiendas online para referencias de precios</t>
  </si>
  <si>
    <t>MercadoLibre Colombia, Falabella</t>
  </si>
  <si>
    <r>
      <rPr>
        <rFont val="Arial"/>
        <color rgb="FF1155CC"/>
        <sz val="10.0"/>
        <u/>
      </rPr>
      <t>https://www.mercadolibre.com.co</t>
    </r>
    <r>
      <rPr>
        <rFont val="Arial"/>
        <color rgb="FF000000"/>
        <sz val="10.0"/>
      </rPr>
      <t xml:space="preserve">, </t>
    </r>
    <r>
      <rPr>
        <rFont val="Arial"/>
        <color rgb="FF1155CC"/>
        <sz val="10.0"/>
        <u/>
      </rPr>
      <t>https://www.falabella.com.co</t>
    </r>
  </si>
  <si>
    <t>Requisitos de los Programadores - Desarrolladores-software</t>
  </si>
  <si>
    <t>Recursos</t>
  </si>
  <si>
    <t>Alternativa calidad-precio</t>
  </si>
  <si>
    <t>Costo (COP)</t>
  </si>
  <si>
    <t>Recomendaciones</t>
  </si>
  <si>
    <t>Para desarrollo móvil y web</t>
  </si>
  <si>
    <t>Windows 10 Home</t>
  </si>
  <si>
    <t>Windows 11 Pro</t>
  </si>
  <si>
    <t>macOS Ventura (MacBook recomendado)</t>
  </si>
  <si>
    <t>Incluido equipo</t>
  </si>
  <si>
    <t>Compatibilidad amplia con herramientas, macOS para desarrollo iOS nativo.</t>
  </si>
  <si>
    <t>IDE / Editor</t>
  </si>
  <si>
    <t>Entorno de desarrollo</t>
  </si>
  <si>
    <t>Visual Studio Code (Gratis)</t>
  </si>
  <si>
    <t>Android Studio / IntelliJ IDEA CE</t>
  </si>
  <si>
    <t>IntelliJ IDEA Ultimate / Xcode</t>
  </si>
  <si>
    <t>Desde 500.000</t>
  </si>
  <si>
    <t>VSCode ligero y extensible, IDEs para apps robustas, Xcode obligatorio para iOS.</t>
  </si>
  <si>
    <t>Control de versiones</t>
  </si>
  <si>
    <t>Git y plataformas</t>
  </si>
  <si>
    <t>Git (Gratis)</t>
  </si>
  <si>
    <t>GitHub / GitLab (planes básicos)</t>
  </si>
  <si>
    <t>GitHub Enterprise / GitLab Premium</t>
  </si>
  <si>
    <t>Desde 300.000</t>
  </si>
  <si>
    <t>Gestión de código, colaboración y CI/CD con integración profesional.</t>
  </si>
  <si>
    <t>Lenguajes de programación</t>
  </si>
  <si>
    <t>Herramientas compilación</t>
  </si>
  <si>
    <t>Node.js / React Native (Gratis)</t>
  </si>
  <si>
    <t>Flutter / Kotlin</t>
  </si>
  <si>
    <t>f</t>
  </si>
  <si>
    <t>Swift / Java / Kotlin con plugins</t>
  </si>
  <si>
    <t>Tecnologías modernas para apps móviles multiplataforma y nativas.</t>
  </si>
  <si>
    <t>Software de diseño</t>
  </si>
  <si>
    <t>Prototipos y UX/UI</t>
  </si>
  <si>
    <t>Figma Free</t>
  </si>
  <si>
    <t>Figma Profesional</t>
  </si>
  <si>
    <t>80.000/mes</t>
  </si>
  <si>
    <t>Adobe XD / Sketch</t>
  </si>
  <si>
    <t>150.000 - 200.000/mes</t>
  </si>
  <si>
    <t>Diseño colaborativo y prototipado interactivo para desarrollo ágil.</t>
  </si>
  <si>
    <t>Base de datos</t>
  </si>
  <si>
    <t>Almacenamiento de datos</t>
  </si>
  <si>
    <t>Firebase Free tier</t>
  </si>
  <si>
    <t>PostgreSQL en servidor propio</t>
  </si>
  <si>
    <t>Desde 0</t>
  </si>
  <si>
    <t>Firebase Blaze / AWS RDS</t>
  </si>
  <si>
    <t>Firebase para prototipos rápidos, PostgreSQL para mayor control y escalabilidad.</t>
  </si>
  <si>
    <t>Servicios en la nube</t>
  </si>
  <si>
    <t>Hosting y despliegue</t>
  </si>
  <si>
    <t>Hosting básico compartido</t>
  </si>
  <si>
    <t>Desde 20.000/mes</t>
  </si>
  <si>
    <t>AWS / Google Cloud (plan básico)</t>
  </si>
  <si>
    <t>Desde 200.000/mes</t>
  </si>
  <si>
    <t>AWS / Azure / Google Cloud (profesional)</t>
  </si>
  <si>
    <t>Desde 500.000/mes</t>
  </si>
  <si>
    <t>Escalabilidad, seguridad y despliegue continuo en infraestructuras profesionales.</t>
  </si>
  <si>
    <t>$980000</t>
  </si>
  <si>
    <t>$1800000</t>
  </si>
  <si>
    <t>proveedores para hardware</t>
  </si>
  <si>
    <t>Categoría / Hardware</t>
  </si>
  <si>
    <t>Laptop</t>
  </si>
  <si>
    <t>Dell Latitude 3520 (i5, 8GB RAM, SSD 512GB)</t>
  </si>
  <si>
    <t>Rendimiento confiable para desarrollo, buena durabilidad y soporte técnico.</t>
  </si>
  <si>
    <t>Dell (Distribuidor oficial o Alkosto)</t>
  </si>
  <si>
    <t>Monitor externo</t>
  </si>
  <si>
    <t>LG 24MK430 IPS (24 pulgadas, Full HD)</t>
  </si>
  <si>
    <t>Amplía espacio visual para programar y documentar con mayor comodidad.</t>
  </si>
  <si>
    <t>LG / Éxito / Falabella</t>
  </si>
  <si>
    <t>UPS (Respaldo energía)</t>
  </si>
  <si>
    <t>APC Back-UPS 1000VA</t>
  </si>
  <si>
    <t>Evita pérdida de trabajo ante cortes de energía y protege el equipo.</t>
  </si>
  <si>
    <t>APC / Schneider Electric</t>
  </si>
  <si>
    <t>Router WiFi</t>
  </si>
  <si>
    <t>UniFi AP AC Pro</t>
  </si>
  <si>
    <t>Conexión estable y rápida, clave para acceso a entornos y repositorios.</t>
  </si>
  <si>
    <t>Ubiquiti / Syscom</t>
  </si>
  <si>
    <t>Almacenamiento externo</t>
  </si>
  <si>
    <t>Kingston SSD NVMe 1TB (USB 3.2)</t>
  </si>
  <si>
    <t>Respaldo seguro y portátil del código y bases de datos.</t>
  </si>
  <si>
    <t>Kingston / Compumax</t>
  </si>
  <si>
    <t>proveedores para software</t>
  </si>
  <si>
    <t>Productividad</t>
  </si>
  <si>
    <t>Google Workspace – Business Standard</t>
  </si>
  <si>
    <t>Herramientas colaborativas en la nube (Docs, Sheets, Drive, Meet).</t>
  </si>
  <si>
    <t>Google</t>
  </si>
  <si>
    <t>Gestión de proyectos</t>
  </si>
  <si>
    <t>Trello Premium</t>
  </si>
  <si>
    <t>Tableros Kanban fáciles de usar, ideal para equipos ágiles.</t>
  </si>
  <si>
    <t>Atlassian / Trello</t>
  </si>
  <si>
    <t>Desarrollo / IDE</t>
  </si>
  <si>
    <t>Visual Studio Community (para uso individual)</t>
  </si>
  <si>
    <t>IDE potente para C#, .NET, Python. Gratuito para desarrolladores independientes.</t>
  </si>
  <si>
    <t>Microsoft</t>
  </si>
  <si>
    <t>GitHub – Free o Pro</t>
  </si>
  <si>
    <t>Gestión de repositorios, colaboración, CI/CD, integración con VS Code.</t>
  </si>
  <si>
    <t>GitHub / Microsoft</t>
  </si>
  <si>
    <t>Seguridad</t>
  </si>
  <si>
    <t>Bitdefender GravityZone Business Security</t>
  </si>
  <si>
    <t>Protección para estaciones de trabajo y servidores de desarrollo.</t>
  </si>
  <si>
    <t>Bitdefender</t>
  </si>
  <si>
    <t>Diseño UI/UX</t>
  </si>
  <si>
    <t>Figma Professional</t>
  </si>
  <si>
    <t>Diseño de interfaces colaborativo en tiempo real.</t>
  </si>
  <si>
    <t>Figma</t>
  </si>
  <si>
    <t>Comunicación interna</t>
  </si>
  <si>
    <t>Slack Pro</t>
  </si>
  <si>
    <t>Comunicación fluida por canales, ideal para equipos de desarrollo.</t>
  </si>
  <si>
    <t>Slack Technologies</t>
  </si>
  <si>
    <t>CRM / Marketing</t>
  </si>
  <si>
    <t>HubSpot Starter</t>
  </si>
  <si>
    <t>Seguimiento de leads, correos y tareas si el software tiene enfoque comercial.</t>
  </si>
  <si>
    <t>HubSpot</t>
  </si>
  <si>
    <t>Hardaware a utilizar</t>
  </si>
  <si>
    <t>Nombre</t>
  </si>
  <si>
    <t xml:space="preserve">Descripcion </t>
  </si>
  <si>
    <t>Cantidad</t>
  </si>
  <si>
    <t>Precio Unitario</t>
  </si>
  <si>
    <t>Precio Total</t>
  </si>
  <si>
    <t>Portatil</t>
  </si>
  <si>
    <t>Micrófono/</t>
  </si>
  <si>
    <t xml:space="preserve">Micrófono condenser </t>
  </si>
  <si>
    <t>Audifonos</t>
  </si>
  <si>
    <t>Audifonos pro x Logitech</t>
  </si>
  <si>
    <t>Modem</t>
  </si>
  <si>
    <t xml:space="preserve">Dual band Wifi 5/6 speed 200 Mbps </t>
  </si>
  <si>
    <t>Total</t>
  </si>
  <si>
    <t>Sofware a utilizar</t>
  </si>
  <si>
    <t>Descripcion</t>
  </si>
  <si>
    <t>200.000/mes</t>
  </si>
  <si>
    <t>500.000/mes</t>
  </si>
  <si>
    <t>5'200.000 Los 6 meses</t>
  </si>
  <si>
    <t>Costo Recurso humano</t>
  </si>
  <si>
    <t>Rol</t>
  </si>
  <si>
    <t>Responsabilidades</t>
  </si>
  <si>
    <t>Costo por Hora (COP</t>
  </si>
  <si>
    <t>Horas Estimadas</t>
  </si>
  <si>
    <t>Costo Total (COP)</t>
  </si>
  <si>
    <t>Tiempo Estimado (Semanas)</t>
  </si>
  <si>
    <t>Disponibilidad</t>
  </si>
  <si>
    <t>Habilidades Clave</t>
  </si>
  <si>
    <t>Observaciones</t>
  </si>
  <si>
    <t>Nicole Dayana Ramirez Vargas</t>
  </si>
  <si>
    <t>Lider de Proyecto</t>
  </si>
  <si>
    <t>Planificación, coordinación, supervisión</t>
  </si>
  <si>
    <t>$80,000</t>
  </si>
  <si>
    <t>Tiempo completo</t>
  </si>
  <si>
    <t>Gestión de proyectos, liderazgo</t>
  </si>
  <si>
    <t>Responsable de entregables</t>
  </si>
  <si>
    <t xml:space="preserve">Thiago Fabian Rojas Guevara </t>
  </si>
  <si>
    <t>Analista de Requerimientos</t>
  </si>
  <si>
    <t>Definir y documentar requerimientos</t>
  </si>
  <si>
    <t>Análisis de sistemas, comunicación</t>
  </si>
  <si>
    <t>Interfaz con usuarios</t>
  </si>
  <si>
    <t>David Santiago Erez Rodriguez</t>
  </si>
  <si>
    <t>Desarrollador de Software</t>
  </si>
  <si>
    <t>Programación, personalización, pruebas</t>
  </si>
  <si>
    <t>$60,000</t>
  </si>
  <si>
    <t>Programación, integración</t>
  </si>
  <si>
    <t>Desarrollo de funcionalidades</t>
  </si>
  <si>
    <t>Tester</t>
  </si>
  <si>
    <t>Selección, configuración e instalación</t>
  </si>
  <si>
    <t>$75,000</t>
  </si>
  <si>
    <t>Medio tiempo</t>
  </si>
  <si>
    <t>Configuración hardware, soporte</t>
  </si>
  <si>
    <t>Instalación y mantenimiento</t>
  </si>
  <si>
    <t>TOTAL</t>
  </si>
  <si>
    <t>Justificacion Costos</t>
  </si>
  <si>
    <t>Aspecto</t>
  </si>
  <si>
    <t>Justificación</t>
  </si>
  <si>
    <t>Jefe de Proyecto</t>
  </si>
  <si>
    <t>El costo por hora de $80,000 COP se basa en la alta responsabilidad, experiencia requerida y liderazgo necesario para coordinar el proyecto. Según estándares de gestión de proyectos, este rango es común para profesionales con 5+ años de experiencia.</t>
  </si>
  <si>
    <t>$40,000 COP por hora refleja la especialización en análisis de sistemas y comunicación con usuarios, fundamental para definir requerimientos claros. Este valor es acorde a perfiles técnicos intermedios en la industria TI.</t>
  </si>
  <si>
    <t>$60,000 COP por hora es un costo estándar para desarrolladores con experiencia en programación y personalización, considerando la demanda actual en el mercado tecnológico.</t>
  </si>
  <si>
    <t>Especialista en Hardware</t>
  </si>
  <si>
    <t>$75,000 COP por hora corresponde a técnicos especializados en hardware, con conocimientos en instalación y soporte, valor acorde a roles técnicos de nivel medi</t>
  </si>
  <si>
    <t>Equipo de Soporte Técnico</t>
  </si>
  <si>
    <t>$50,000 COPpor hora refleja el costo de personal de soporte con disponibilidad en turnos, importante para mantenimiento y resolución rápida de problemas.</t>
  </si>
  <si>
    <t>Usuario Clave</t>
  </si>
  <si>
    <t>$65,000 COP por hora es un valor estimado para usuarios clave que participan en validación y pruebas, generalmente personal operativo con conocimiento del proceso.</t>
  </si>
  <si>
    <t>Bibliografia</t>
  </si>
  <si>
    <t>Autor / Institución</t>
  </si>
  <si>
    <t>Fuente</t>
  </si>
  <si>
    <t>Motta Vargas, J. J.</t>
  </si>
  <si>
    <t>Motta Vargas, J. J. (2025). Análisis de proveedores de software y hardware [Taller Informe Técnico]. Universidad XYZ.</t>
  </si>
  <si>
    <t>Project Management Institute</t>
  </si>
  <si>
    <t>Project Management Institute. (2021). A guide to the project management body of knowledge (PMBOK guide) (7th ed.). Project Management Institute.</t>
  </si>
  <si>
    <t>Stack Overflow</t>
  </si>
  <si>
    <t>Stack Overflow. (2023). Developer survey 2023: Average developer salaries and rates. Recuperado de https://insights.stackoverflow.com/survey/2023</t>
  </si>
  <si>
    <t>Glassdoor</t>
  </si>
  <si>
    <t>Glassdoor. (2024). Average IT professional salaries by role. Recuperado de https://www.glassdoor.com/Salaries/it-salary-SRCH_KO0,2.htm</t>
  </si>
  <si>
    <t>ENERO</t>
  </si>
  <si>
    <t>FEBRERO</t>
  </si>
  <si>
    <t>MARZO</t>
  </si>
  <si>
    <t>ABRIL</t>
  </si>
  <si>
    <t>MAYO</t>
  </si>
  <si>
    <t>JUNIO</t>
  </si>
  <si>
    <t>JULIO</t>
  </si>
  <si>
    <t>Sprint 1 Analisis y planeacion</t>
  </si>
  <si>
    <t xml:space="preserve">Reunion con el cliente </t>
  </si>
  <si>
    <t xml:space="preserve">Proudcuto backlog </t>
  </si>
  <si>
    <t>Visión del producto y roles Scrum</t>
  </si>
  <si>
    <t>Selección de tecnologías</t>
  </si>
  <si>
    <t xml:space="preserve">Arquitectura del sistema </t>
  </si>
  <si>
    <t>Diagramas UML</t>
  </si>
  <si>
    <t>Diseño de UI</t>
  </si>
  <si>
    <t>Configuración del repositorio y tableros ágiles</t>
  </si>
  <si>
    <t>Documentación SRS</t>
  </si>
  <si>
    <t>Sprint 2 - Análisis y Requerimientos a Detalle</t>
  </si>
  <si>
    <t>Refinamiento del Product Backlog (priorizar RF1–RF10)</t>
  </si>
  <si>
    <t>Documentar RF y RNF (SRS completo)</t>
  </si>
  <si>
    <t>Definir reglas de negocio (reserva, contratos, penalidades, mantenimientos)</t>
  </si>
  <si>
    <t>Análisis del módulo GPS (tipo disp., formato datos, protocolo)</t>
  </si>
  <si>
    <t>Identificación de riesgos y restricciones</t>
  </si>
  <si>
    <t>Validación con el cliente de funcionalidades</t>
  </si>
  <si>
    <t>Sprint 3 – Diseño Técnico y Arquitectura (Sistema + GPS)</t>
  </si>
  <si>
    <t>Arquitectura general del sistema (capas o microservicios)</t>
  </si>
  <si>
    <t xml:space="preserve">Diseño del modelo de datos conceptual	</t>
  </si>
  <si>
    <t>Diagramas UML iniciales (Casos de uso, actividad, secuencia)</t>
  </si>
  <si>
    <t>Diseño de arquitectura para el módulo GPS</t>
  </si>
  <si>
    <t>Servicio receptor de coordenadas</t>
  </si>
  <si>
    <t>Base de datos de ubicación</t>
  </si>
  <si>
    <t>Actualización en tiempo real</t>
  </si>
  <si>
    <t xml:space="preserve">    </t>
  </si>
  <si>
    <t>Diseño preliminar de mockups UI</t>
  </si>
  <si>
    <t xml:space="preserve">Sprint 4 -  Modelado Completo y Preparación del Desarrollo </t>
  </si>
  <si>
    <t>UML a detalle (clases, componentes, despliegue GPS)</t>
  </si>
  <si>
    <t>Modelado lógico y físico de Base de Datos</t>
  </si>
  <si>
    <t>Preparación del entorno Backend</t>
  </si>
  <si>
    <t>Preparación del entorno Frontend</t>
  </si>
  <si>
    <t>Servidor de pruebas y configuración</t>
  </si>
  <si>
    <t>Diseño final de interfaces (UI)</t>
  </si>
  <si>
    <t>Configuración básica de API del proyecto</t>
  </si>
  <si>
    <t>Sprint 5 - Desarrollo Backend Fase 1</t>
  </si>
  <si>
    <t>RF1: Autenticación + Roles</t>
  </si>
  <si>
    <t>RF2: Gestión de Vehículos</t>
  </si>
  <si>
    <t>RF4: Gestión de Clientes</t>
  </si>
  <si>
    <t>RF3: Gestión de Contratos</t>
  </si>
  <si>
    <t>RF5: Reservas (backend)</t>
  </si>
  <si>
    <t>RF6: Mantenimientos</t>
  </si>
  <si>
    <t>Base de datos – creación y ajuste</t>
  </si>
  <si>
    <t>BD – pruebas de integridad</t>
  </si>
  <si>
    <t>GPS – servicio receptor de coordenadas</t>
  </si>
  <si>
    <t>Pruebas unitarias (controladores y servicios)</t>
  </si>
  <si>
    <t>Entregable: Backend CRUD + GPS inicial</t>
  </si>
  <si>
    <t>Sprint 6 -  Desarrollo Frontend e Integración</t>
  </si>
  <si>
    <t>Login (Frontend)</t>
  </si>
  <si>
    <t>Panel administrativo</t>
  </si>
  <si>
    <t>CRUDs: vehículos, clientes, contratos, reservas, mantenimientos</t>
  </si>
  <si>
    <t>Reportes básicos</t>
  </si>
  <si>
    <t>Integración Frontend ↔ Backend (API REST)</t>
  </si>
  <si>
    <t>Validaciones en formularios</t>
  </si>
  <si>
    <t>Notificaciones automáticas (RF8)</t>
  </si>
  <si>
    <t>Módulo de estadísticas (RF9)</t>
  </si>
  <si>
    <t>Integración con GPS – Vista del mapa</t>
  </si>
  <si>
    <t>Integración con GPS – Acceso a datos desde backend</t>
  </si>
  <si>
    <t>Entregable: Frontend completo integrado</t>
  </si>
  <si>
    <t>Sprint 7 -   Integración GPS Avanzada y Pruebas en Campo</t>
  </si>
  <si>
    <t>Integración total del módulo GPS</t>
  </si>
  <si>
    <t>RF10: Localización en tiempo real</t>
  </si>
  <si>
    <t>Mapa dinámico</t>
  </si>
  <si>
    <t>Historial de rutas</t>
  </si>
  <si>
    <t>Pruebas en campo con dispositivo GPS</t>
  </si>
  <si>
    <t>Correcciones de comunicación GPS - Backend</t>
  </si>
  <si>
    <t>Optimización de actualización (cada 60 s)</t>
  </si>
  <si>
    <t>Pruebas de rendimiento (RNF 2)</t>
  </si>
  <si>
    <t>Correcciones finales</t>
  </si>
  <si>
    <t>Entregable: Módulo GPS funcionando plenamente</t>
  </si>
  <si>
    <t>Sprint 8 - Implementación Final y Cierre del Proyecto</t>
  </si>
  <si>
    <t>Despliegue en servidor final (hosting o nube)</t>
  </si>
  <si>
    <t>Pruebas finales con el cliente</t>
  </si>
  <si>
    <t>Respaldos y configuración de recuperación ante fallos</t>
  </si>
  <si>
    <t>Documentación técnica interna</t>
  </si>
  <si>
    <t>Manual de usuario</t>
  </si>
  <si>
    <t>Presentación final del proyecto</t>
  </si>
  <si>
    <t>Entregable: Sistema completo, documentado y aprobado</t>
  </si>
  <si>
    <t>ITEM</t>
  </si>
  <si>
    <t>Hardware</t>
  </si>
  <si>
    <t>Software</t>
  </si>
  <si>
    <t>Rec. Humano</t>
  </si>
  <si>
    <t>Otros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</si>
</sst>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 $]#,##0"/>
    <numFmt numFmtId="165" formatCode="#,##0.00\ [$€-1]"/>
    <numFmt numFmtId="166" formatCode="#,##0.00;\(#,##0.00\)"/>
    <numFmt numFmtId="167" formatCode="&quot;$&quot;#,##0.00"/>
    <numFmt numFmtId="168" formatCode="&quot;$&quot;\ #,##0"/>
    <numFmt numFmtId="169" formatCode="&quot;$&quot;\ #,##0.000;[Red]\-&quot;$&quot;\ #,##0.000"/>
    <numFmt numFmtId="170" formatCode="d/m/yyyy"/>
  </numFmts>
  <fonts count="29">
    <font>
      <sz val="10.0"/>
      <color rgb="FF000000"/>
      <name val="Arial"/>
      <scheme val="minor"/>
    </font>
    <font>
      <b/>
      <sz val="18.0"/>
      <color theme="1"/>
      <name val="Arial"/>
    </font>
    <font/>
    <font>
      <b/>
      <sz val="13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4.0"/>
      <color rgb="FF000000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&quot;Aptos Narrow&quot;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b/>
      <sz val="16.0"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sz val="10.0"/>
      <color rgb="FF000000"/>
      <name val="Arial"/>
    </font>
    <font>
      <sz val="10.0"/>
      <color rgb="FF09090B"/>
      <name val="Inter"/>
    </font>
    <font>
      <b/>
      <sz val="15.0"/>
      <color theme="1"/>
      <name val="Arial"/>
    </font>
    <font>
      <sz val="11.0"/>
      <color rgb="FF09090B"/>
      <name val="Arial"/>
    </font>
    <font>
      <sz val="11.0"/>
      <color theme="1"/>
      <name val="Calibri"/>
    </font>
    <font>
      <sz val="11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1CBF3"/>
        <bgColor rgb="FF61CBF3"/>
      </patternFill>
    </fill>
    <fill>
      <patternFill patternType="solid">
        <fgColor rgb="FFF6F8F9"/>
        <bgColor rgb="FFF6F8F9"/>
      </patternFill>
    </fill>
    <fill>
      <patternFill patternType="solid">
        <fgColor rgb="FF94DCF8"/>
        <bgColor rgb="FF94DC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3F4F6"/>
        <bgColor rgb="FFF3F4F6"/>
      </patternFill>
    </fill>
    <fill>
      <patternFill patternType="solid">
        <fgColor rgb="FFFEE1CC"/>
        <bgColor rgb="FFFEE1CC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A4C2F4"/>
        <bgColor rgb="FFA4C2F4"/>
      </patternFill>
    </fill>
    <fill>
      <patternFill patternType="solid">
        <fgColor rgb="FFA6C9EB"/>
        <bgColor rgb="FFA6C9EB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D2A971"/>
        <bgColor rgb="FFD2A971"/>
      </patternFill>
    </fill>
    <fill>
      <patternFill patternType="solid">
        <fgColor rgb="FFF4CCCC"/>
        <bgColor rgb="FFF4CCCC"/>
      </patternFill>
    </fill>
  </fills>
  <borders count="14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2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2" fontId="5" numFmtId="0" xfId="0" applyAlignment="1" applyBorder="1" applyFont="1">
      <alignment vertical="center"/>
    </xf>
    <xf borderId="3" fillId="2" fontId="5" numFmtId="0" xfId="0" applyAlignment="1" applyBorder="1" applyFont="1">
      <alignment horizontal="left" vertical="center"/>
    </xf>
    <xf borderId="3" fillId="2" fontId="5" numFmtId="164" xfId="0" applyAlignment="1" applyBorder="1" applyFont="1" applyNumberFormat="1">
      <alignment horizontal="left" vertical="center"/>
    </xf>
    <xf borderId="3" fillId="2" fontId="5" numFmtId="0" xfId="0" applyAlignment="1" applyBorder="1" applyFont="1">
      <alignment vertical="center"/>
    </xf>
    <xf borderId="3" fillId="2" fontId="5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6" fillId="0" fontId="2" numFmtId="0" xfId="0" applyBorder="1" applyFont="1"/>
    <xf borderId="0" fillId="0" fontId="5" numFmtId="0" xfId="0" applyAlignment="1" applyFont="1">
      <alignment vertical="center"/>
    </xf>
    <xf borderId="4" fillId="2" fontId="5" numFmtId="0" xfId="0" applyAlignment="1" applyBorder="1" applyFont="1">
      <alignment shrinkToFit="0" vertical="center" wrapText="1"/>
    </xf>
    <xf borderId="0" fillId="0" fontId="5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left"/>
    </xf>
    <xf borderId="7" fillId="2" fontId="1" numFmtId="0" xfId="0" applyAlignment="1" applyBorder="1" applyFont="1">
      <alignment horizontal="left"/>
    </xf>
    <xf borderId="8" fillId="0" fontId="2" numFmtId="0" xfId="0" applyBorder="1" applyFont="1"/>
    <xf borderId="9" fillId="0" fontId="2" numFmtId="0" xfId="0" applyBorder="1" applyFont="1"/>
    <xf borderId="3" fillId="3" fontId="7" numFmtId="0" xfId="0" applyBorder="1" applyFill="1" applyFont="1"/>
    <xf borderId="3" fillId="3" fontId="8" numFmtId="0" xfId="0" applyAlignment="1" applyBorder="1" applyFont="1">
      <alignment horizontal="center" readingOrder="0"/>
    </xf>
    <xf borderId="3" fillId="2" fontId="5" numFmtId="0" xfId="0" applyBorder="1" applyFont="1"/>
    <xf borderId="3" fillId="3" fontId="7" numFmtId="0" xfId="0" applyAlignment="1" applyBorder="1" applyFont="1">
      <alignment readingOrder="0"/>
    </xf>
    <xf borderId="7" fillId="2" fontId="1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7" fillId="3" fontId="1" numFmtId="0" xfId="0" applyBorder="1" applyFont="1"/>
    <xf borderId="3" fillId="3" fontId="3" numFmtId="0" xfId="0" applyAlignment="1" applyBorder="1" applyFont="1">
      <alignment horizontal="center"/>
    </xf>
    <xf borderId="3" fillId="3" fontId="5" numFmtId="0" xfId="0" applyBorder="1" applyFont="1"/>
    <xf borderId="0" fillId="0" fontId="9" numFmtId="0" xfId="0" applyAlignment="1" applyFont="1">
      <alignment horizontal="center" readingOrder="0"/>
    </xf>
    <xf borderId="7" fillId="4" fontId="10" numFmtId="0" xfId="0" applyAlignment="1" applyBorder="1" applyFill="1" applyFont="1">
      <alignment horizontal="left"/>
    </xf>
    <xf borderId="10" fillId="5" fontId="5" numFmtId="0" xfId="0" applyAlignment="1" applyBorder="1" applyFill="1" applyFont="1">
      <alignment horizontal="left"/>
    </xf>
    <xf borderId="0" fillId="0" fontId="5" numFmtId="0" xfId="0" applyAlignment="1" applyFont="1">
      <alignment horizontal="left"/>
    </xf>
    <xf borderId="3" fillId="6" fontId="11" numFmtId="0" xfId="0" applyAlignment="1" applyBorder="1" applyFill="1" applyFont="1">
      <alignment horizontal="left"/>
    </xf>
    <xf borderId="3" fillId="6" fontId="12" numFmtId="0" xfId="0" applyAlignment="1" applyBorder="1" applyFont="1">
      <alignment horizontal="left"/>
    </xf>
    <xf borderId="3" fillId="6" fontId="13" numFmtId="0" xfId="0" applyAlignment="1" applyBorder="1" applyFont="1">
      <alignment horizontal="left"/>
    </xf>
    <xf borderId="3" fillId="7" fontId="14" numFmtId="0" xfId="0" applyAlignment="1" applyBorder="1" applyFill="1" applyFont="1">
      <alignment horizontal="left"/>
    </xf>
    <xf borderId="3" fillId="0" fontId="5" numFmtId="0" xfId="0" applyAlignment="1" applyBorder="1" applyFont="1">
      <alignment horizontal="left"/>
    </xf>
    <xf borderId="3" fillId="0" fontId="5" numFmtId="164" xfId="0" applyAlignment="1" applyBorder="1" applyFont="1" applyNumberFormat="1">
      <alignment horizontal="left"/>
    </xf>
    <xf borderId="3" fillId="0" fontId="15" numFmtId="0" xfId="0" applyAlignment="1" applyBorder="1" applyFont="1">
      <alignment horizontal="left"/>
    </xf>
    <xf borderId="3" fillId="8" fontId="14" numFmtId="0" xfId="0" applyAlignment="1" applyBorder="1" applyFill="1" applyFont="1">
      <alignment horizontal="left"/>
    </xf>
    <xf borderId="0" fillId="0" fontId="4" numFmtId="0" xfId="0" applyAlignment="1" applyFont="1">
      <alignment horizontal="left"/>
    </xf>
    <xf borderId="3" fillId="0" fontId="4" numFmtId="0" xfId="0" applyAlignment="1" applyBorder="1" applyFont="1">
      <alignment horizontal="left"/>
    </xf>
    <xf borderId="7" fillId="0" fontId="16" numFmtId="0" xfId="0" applyAlignment="1" applyBorder="1" applyFont="1">
      <alignment horizontal="left"/>
    </xf>
    <xf borderId="11" fillId="0" fontId="5" numFmtId="0" xfId="0" applyAlignment="1" applyBorder="1" applyFont="1">
      <alignment horizontal="left"/>
    </xf>
    <xf borderId="0" fillId="0" fontId="5" numFmtId="3" xfId="0" applyAlignment="1" applyFont="1" applyNumberFormat="1">
      <alignment horizontal="left"/>
    </xf>
    <xf borderId="0" fillId="0" fontId="5" numFmtId="3" xfId="0" applyFont="1" applyNumberFormat="1"/>
    <xf borderId="6" fillId="0" fontId="5" numFmtId="0" xfId="0" applyAlignment="1" applyBorder="1" applyFont="1">
      <alignment horizontal="left"/>
    </xf>
    <xf borderId="0" fillId="0" fontId="5" numFmtId="165" xfId="0" applyAlignment="1" applyFont="1" applyNumberFormat="1">
      <alignment horizontal="left"/>
    </xf>
    <xf borderId="3" fillId="0" fontId="17" numFmtId="0" xfId="0" applyAlignment="1" applyBorder="1" applyFont="1">
      <alignment horizontal="left"/>
    </xf>
    <xf borderId="10" fillId="5" fontId="14" numFmtId="0" xfId="0" applyAlignment="1" applyBorder="1" applyFont="1">
      <alignment horizontal="left"/>
    </xf>
    <xf borderId="3" fillId="6" fontId="4" numFmtId="0" xfId="0" applyAlignment="1" applyBorder="1" applyFont="1">
      <alignment horizontal="left"/>
    </xf>
    <xf borderId="3" fillId="0" fontId="5" numFmtId="3" xfId="0" applyAlignment="1" applyBorder="1" applyFont="1" applyNumberFormat="1">
      <alignment horizontal="left"/>
    </xf>
    <xf borderId="3" fillId="5" fontId="6" numFmtId="0" xfId="0" applyAlignment="1" applyBorder="1" applyFont="1">
      <alignment horizontal="left"/>
    </xf>
    <xf borderId="3" fillId="0" fontId="5" numFmtId="166" xfId="0" applyAlignment="1" applyBorder="1" applyFont="1" applyNumberFormat="1">
      <alignment horizontal="left"/>
    </xf>
    <xf borderId="0" fillId="4" fontId="18" numFmtId="0" xfId="0" applyAlignment="1" applyFont="1">
      <alignment readingOrder="0"/>
    </xf>
    <xf borderId="3" fillId="0" fontId="19" numFmtId="0" xfId="0" applyAlignment="1" applyBorder="1" applyFont="1">
      <alignment readingOrder="0" vertical="bottom"/>
    </xf>
    <xf borderId="3" fillId="0" fontId="19" numFmtId="0" xfId="0" applyAlignment="1" applyBorder="1" applyFont="1">
      <alignment horizontal="right" readingOrder="0" vertical="bottom"/>
    </xf>
    <xf borderId="3" fillId="0" fontId="19" numFmtId="167" xfId="0" applyAlignment="1" applyBorder="1" applyFont="1" applyNumberFormat="1">
      <alignment horizontal="right" readingOrder="0" vertical="bottom"/>
    </xf>
    <xf borderId="3" fillId="0" fontId="9" numFmtId="0" xfId="0" applyAlignment="1" applyBorder="1" applyFont="1">
      <alignment readingOrder="0"/>
    </xf>
    <xf borderId="3" fillId="0" fontId="20" numFmtId="0" xfId="0" applyAlignment="1" applyBorder="1" applyFont="1">
      <alignment vertical="bottom"/>
    </xf>
    <xf borderId="3" fillId="0" fontId="20" numFmtId="0" xfId="0" applyAlignment="1" applyBorder="1" applyFont="1">
      <alignment horizontal="right" vertical="bottom"/>
    </xf>
    <xf borderId="3" fillId="0" fontId="20" numFmtId="167" xfId="0" applyAlignment="1" applyBorder="1" applyFont="1" applyNumberFormat="1">
      <alignment horizontal="right" vertical="bottom"/>
    </xf>
    <xf borderId="3" fillId="0" fontId="7" numFmtId="167" xfId="0" applyBorder="1" applyFont="1" applyNumberFormat="1"/>
    <xf borderId="3" fillId="7" fontId="21" numFmtId="0" xfId="0" applyAlignment="1" applyBorder="1" applyFont="1">
      <alignment vertical="bottom"/>
    </xf>
    <xf borderId="3" fillId="7" fontId="22" numFmtId="0" xfId="0" applyAlignment="1" applyBorder="1" applyFont="1">
      <alignment vertical="bottom"/>
    </xf>
    <xf borderId="3" fillId="0" fontId="7" numFmtId="0" xfId="0" applyBorder="1" applyFont="1"/>
    <xf borderId="3" fillId="0" fontId="9" numFmtId="167" xfId="0" applyBorder="1" applyFont="1" applyNumberFormat="1"/>
    <xf borderId="3" fillId="0" fontId="5" numFmtId="3" xfId="0" applyAlignment="1" applyBorder="1" applyFont="1" applyNumberFormat="1">
      <alignment horizontal="left" readingOrder="0"/>
    </xf>
    <xf borderId="3" fillId="0" fontId="5" numFmtId="0" xfId="0" applyAlignment="1" applyBorder="1" applyFont="1">
      <alignment horizontal="left" readingOrder="0"/>
    </xf>
    <xf borderId="7" fillId="9" fontId="4" numFmtId="0" xfId="0" applyAlignment="1" applyBorder="1" applyFill="1" applyFont="1">
      <alignment horizontal="left"/>
    </xf>
    <xf borderId="3" fillId="0" fontId="23" numFmtId="0" xfId="0" applyBorder="1" applyFont="1"/>
    <xf borderId="3" fillId="9" fontId="24" numFmtId="0" xfId="0" applyAlignment="1" applyBorder="1" applyFont="1">
      <alignment horizontal="left"/>
    </xf>
    <xf borderId="3" fillId="9" fontId="24" numFmtId="165" xfId="0" applyAlignment="1" applyBorder="1" applyFont="1" applyNumberFormat="1">
      <alignment horizontal="left"/>
    </xf>
    <xf borderId="3" fillId="7" fontId="24" numFmtId="0" xfId="0" applyBorder="1" applyFont="1"/>
    <xf borderId="3" fillId="0" fontId="14" numFmtId="0" xfId="0" applyAlignment="1" applyBorder="1" applyFont="1">
      <alignment horizontal="right"/>
    </xf>
    <xf borderId="3" fillId="0" fontId="14" numFmtId="168" xfId="0" applyAlignment="1" applyBorder="1" applyFont="1" applyNumberFormat="1">
      <alignment horizontal="right"/>
    </xf>
    <xf borderId="3" fillId="10" fontId="24" numFmtId="0" xfId="0" applyBorder="1" applyFill="1" applyFont="1"/>
    <xf borderId="3" fillId="0" fontId="14" numFmtId="169" xfId="0" applyAlignment="1" applyBorder="1" applyFont="1" applyNumberFormat="1">
      <alignment horizontal="right"/>
    </xf>
    <xf borderId="10" fillId="7" fontId="24" numFmtId="0" xfId="0" applyBorder="1" applyFont="1"/>
    <xf borderId="0" fillId="0" fontId="14" numFmtId="0" xfId="0" applyAlignment="1" applyFont="1">
      <alignment horizontal="right"/>
    </xf>
    <xf borderId="12" fillId="11" fontId="14" numFmtId="0" xfId="0" applyAlignment="1" applyBorder="1" applyFill="1" applyFont="1">
      <alignment horizontal="left"/>
    </xf>
    <xf borderId="6" fillId="0" fontId="14" numFmtId="168" xfId="0" applyAlignment="1" applyBorder="1" applyFont="1" applyNumberFormat="1">
      <alignment horizontal="right"/>
    </xf>
    <xf borderId="7" fillId="9" fontId="4" numFmtId="0" xfId="0" applyBorder="1" applyFont="1"/>
    <xf borderId="7" fillId="9" fontId="24" numFmtId="0" xfId="0" applyAlignment="1" applyBorder="1" applyFont="1">
      <alignment horizontal="left"/>
    </xf>
    <xf borderId="10" fillId="9" fontId="5" numFmtId="0" xfId="0" applyBorder="1" applyFont="1"/>
    <xf borderId="3" fillId="0" fontId="25" numFmtId="0" xfId="0" applyBorder="1" applyFont="1"/>
    <xf borderId="3" fillId="0" fontId="5" numFmtId="0" xfId="0" applyBorder="1" applyFont="1"/>
    <xf borderId="7" fillId="7" fontId="24" numFmtId="0" xfId="0" applyBorder="1" applyFont="1"/>
    <xf borderId="7" fillId="9" fontId="5" numFmtId="0" xfId="0" applyBorder="1" applyFont="1"/>
    <xf borderId="3" fillId="9" fontId="26" numFmtId="0" xfId="0" applyAlignment="1" applyBorder="1" applyFont="1">
      <alignment horizontal="left"/>
    </xf>
    <xf borderId="3" fillId="10" fontId="26" numFmtId="0" xfId="0" applyBorder="1" applyFont="1"/>
    <xf borderId="3" fillId="7" fontId="26" numFmtId="0" xfId="0" applyBorder="1" applyFont="1"/>
    <xf borderId="7" fillId="10" fontId="24" numFmtId="0" xfId="0" applyBorder="1" applyFont="1"/>
    <xf borderId="0" fillId="0" fontId="5" numFmtId="0" xfId="0" applyFont="1"/>
    <xf borderId="10" fillId="7" fontId="26" numFmtId="0" xfId="0" applyBorder="1" applyFont="1"/>
    <xf borderId="1" fillId="7" fontId="24" numFmtId="0" xfId="0" applyBorder="1" applyFont="1"/>
    <xf borderId="0" fillId="0" fontId="5" numFmtId="170" xfId="0" applyFont="1" applyNumberFormat="1"/>
    <xf borderId="0" fillId="0" fontId="22" numFmtId="0" xfId="0" applyAlignment="1" applyFont="1">
      <alignment vertical="bottom"/>
    </xf>
    <xf borderId="7" fillId="0" fontId="27" numFmtId="0" xfId="0" applyAlignment="1" applyBorder="1" applyFont="1">
      <alignment horizontal="center" vertical="bottom"/>
    </xf>
    <xf borderId="7" fillId="7" fontId="27" numFmtId="0" xfId="0" applyAlignment="1" applyBorder="1" applyFont="1">
      <alignment horizontal="center" vertical="bottom"/>
    </xf>
    <xf borderId="3" fillId="0" fontId="27" numFmtId="0" xfId="0" applyAlignment="1" applyBorder="1" applyFont="1">
      <alignment horizontal="right" vertical="bottom"/>
    </xf>
    <xf borderId="3" fillId="0" fontId="27" numFmtId="0" xfId="0" applyAlignment="1" applyBorder="1" applyFont="1">
      <alignment horizontal="right" vertical="bottom"/>
    </xf>
    <xf borderId="3" fillId="7" fontId="27" numFmtId="0" xfId="0" applyAlignment="1" applyBorder="1" applyFont="1">
      <alignment horizontal="right" vertical="bottom"/>
    </xf>
    <xf borderId="4" fillId="0" fontId="27" numFmtId="0" xfId="0" applyAlignment="1" applyBorder="1" applyFont="1">
      <alignment horizontal="center" shrinkToFit="0" vertical="center" wrapText="1"/>
    </xf>
    <xf borderId="3" fillId="12" fontId="27" numFmtId="0" xfId="0" applyAlignment="1" applyBorder="1" applyFill="1" applyFont="1">
      <alignment vertical="bottom"/>
    </xf>
    <xf borderId="3" fillId="12" fontId="22" numFmtId="0" xfId="0" applyAlignment="1" applyBorder="1" applyFont="1">
      <alignment vertical="bottom"/>
    </xf>
    <xf borderId="3" fillId="0" fontId="22" numFmtId="0" xfId="0" applyAlignment="1" applyBorder="1" applyFont="1">
      <alignment vertical="bottom"/>
    </xf>
    <xf borderId="13" fillId="0" fontId="2" numFmtId="0" xfId="0" applyBorder="1" applyFont="1"/>
    <xf borderId="3" fillId="12" fontId="22" numFmtId="0" xfId="0" applyAlignment="1" applyBorder="1" applyFont="1">
      <alignment vertical="bottom"/>
    </xf>
    <xf borderId="3" fillId="12" fontId="27" numFmtId="0" xfId="0" applyAlignment="1" applyBorder="1" applyFont="1">
      <alignment shrinkToFit="0" vertical="bottom" wrapText="1"/>
    </xf>
    <xf borderId="13" fillId="0" fontId="27" numFmtId="0" xfId="0" applyAlignment="1" applyBorder="1" applyFont="1">
      <alignment horizontal="center" shrinkToFit="0" vertical="center" wrapText="1"/>
    </xf>
    <xf borderId="3" fillId="13" fontId="27" numFmtId="0" xfId="0" applyAlignment="1" applyBorder="1" applyFill="1" applyFont="1">
      <alignment shrinkToFit="0" vertical="bottom" wrapText="1"/>
    </xf>
    <xf borderId="3" fillId="13" fontId="22" numFmtId="0" xfId="0" applyAlignment="1" applyBorder="1" applyFont="1">
      <alignment vertical="bottom"/>
    </xf>
    <xf borderId="3" fillId="13" fontId="27" numFmtId="0" xfId="0" applyAlignment="1" applyBorder="1" applyFont="1">
      <alignment vertical="bottom"/>
    </xf>
    <xf borderId="3" fillId="14" fontId="27" numFmtId="0" xfId="0" applyAlignment="1" applyBorder="1" applyFill="1" applyFont="1">
      <alignment shrinkToFit="0" vertical="bottom" wrapText="1"/>
    </xf>
    <xf borderId="3" fillId="14" fontId="22" numFmtId="0" xfId="0" applyAlignment="1" applyBorder="1" applyFont="1">
      <alignment vertical="bottom"/>
    </xf>
    <xf borderId="3" fillId="15" fontId="22" numFmtId="0" xfId="0" applyAlignment="1" applyBorder="1" applyFill="1" applyFont="1">
      <alignment vertical="bottom"/>
    </xf>
    <xf borderId="3" fillId="14" fontId="27" numFmtId="0" xfId="0" applyAlignment="1" applyBorder="1" applyFont="1">
      <alignment vertical="bottom"/>
    </xf>
    <xf borderId="0" fillId="0" fontId="22" numFmtId="0" xfId="0" applyAlignment="1" applyFont="1">
      <alignment vertical="bottom"/>
    </xf>
    <xf borderId="3" fillId="14" fontId="27" numFmtId="0" xfId="0" applyAlignment="1" applyBorder="1" applyFont="1">
      <alignment shrinkToFit="0" vertical="bottom" wrapText="1"/>
    </xf>
    <xf borderId="0" fillId="14" fontId="21" numFmtId="0" xfId="0" applyAlignment="1" applyFont="1">
      <alignment vertical="bottom"/>
    </xf>
    <xf borderId="3" fillId="0" fontId="27" numFmtId="0" xfId="0" applyAlignment="1" applyBorder="1" applyFont="1">
      <alignment vertical="bottom"/>
    </xf>
    <xf borderId="13" fillId="0" fontId="27" numFmtId="164" xfId="0" applyAlignment="1" applyBorder="1" applyFont="1" applyNumberFormat="1">
      <alignment horizontal="center" shrinkToFit="0" vertical="center" wrapText="1"/>
    </xf>
    <xf borderId="3" fillId="16" fontId="27" numFmtId="0" xfId="0" applyAlignment="1" applyBorder="1" applyFill="1" applyFont="1">
      <alignment shrinkToFit="0" vertical="bottom" wrapText="1"/>
    </xf>
    <xf borderId="3" fillId="16" fontId="22" numFmtId="0" xfId="0" applyAlignment="1" applyBorder="1" applyFont="1">
      <alignment vertical="bottom"/>
    </xf>
    <xf borderId="0" fillId="16" fontId="22" numFmtId="0" xfId="0" applyAlignment="1" applyFont="1">
      <alignment shrinkToFit="0" vertical="bottom" wrapText="1"/>
    </xf>
    <xf borderId="3" fillId="16" fontId="27" numFmtId="0" xfId="0" applyAlignment="1" applyBorder="1" applyFont="1">
      <alignment vertical="bottom"/>
    </xf>
    <xf borderId="0" fillId="17" fontId="21" numFmtId="0" xfId="0" applyAlignment="1" applyFill="1" applyFont="1">
      <alignment vertical="bottom"/>
    </xf>
    <xf borderId="3" fillId="17" fontId="22" numFmtId="0" xfId="0" applyAlignment="1" applyBorder="1" applyFont="1">
      <alignment vertical="bottom"/>
    </xf>
    <xf borderId="3" fillId="17" fontId="27" numFmtId="0" xfId="0" applyAlignment="1" applyBorder="1" applyFont="1">
      <alignment vertical="bottom"/>
    </xf>
    <xf borderId="3" fillId="17" fontId="27" numFmtId="0" xfId="0" applyAlignment="1" applyBorder="1" applyFont="1">
      <alignment shrinkToFit="0" vertical="bottom" wrapText="1"/>
    </xf>
    <xf borderId="4" fillId="0" fontId="21" numFmtId="0" xfId="0" applyAlignment="1" applyBorder="1" applyFont="1">
      <alignment horizontal="center" shrinkToFit="0" vertical="center" wrapText="1"/>
    </xf>
    <xf borderId="3" fillId="18" fontId="21" numFmtId="0" xfId="0" applyAlignment="1" applyBorder="1" applyFill="1" applyFont="1">
      <alignment vertical="bottom"/>
    </xf>
    <xf borderId="3" fillId="18" fontId="22" numFmtId="0" xfId="0" applyAlignment="1" applyBorder="1" applyFont="1">
      <alignment vertical="bottom"/>
    </xf>
    <xf borderId="3" fillId="18" fontId="21" numFmtId="0" xfId="0" applyAlignment="1" applyBorder="1" applyFont="1">
      <alignment shrinkToFit="0" vertical="bottom" wrapText="1"/>
    </xf>
    <xf borderId="3" fillId="19" fontId="21" numFmtId="0" xfId="0" applyAlignment="1" applyBorder="1" applyFill="1" applyFont="1">
      <alignment vertical="bottom"/>
    </xf>
    <xf borderId="3" fillId="19" fontId="22" numFmtId="0" xfId="0" applyAlignment="1" applyBorder="1" applyFont="1">
      <alignment vertical="bottom"/>
    </xf>
    <xf borderId="3" fillId="19" fontId="21" numFmtId="0" xfId="0" applyAlignment="1" applyBorder="1" applyFont="1">
      <alignment shrinkToFit="0" vertical="bottom" wrapText="1"/>
    </xf>
    <xf borderId="3" fillId="20" fontId="21" numFmtId="0" xfId="0" applyAlignment="1" applyBorder="1" applyFill="1" applyFont="1">
      <alignment shrinkToFit="0" vertical="bottom" wrapText="1"/>
    </xf>
    <xf borderId="3" fillId="20" fontId="22" numFmtId="0" xfId="0" applyAlignment="1" applyBorder="1" applyFont="1">
      <alignment vertical="bottom"/>
    </xf>
    <xf borderId="3" fillId="20" fontId="21" numFmtId="0" xfId="0" applyAlignment="1" applyBorder="1" applyFont="1">
      <alignment vertical="bottom"/>
    </xf>
    <xf borderId="3" fillId="20" fontId="21" numFmtId="0" xfId="0" applyAlignment="1" applyBorder="1" applyFont="1">
      <alignment shrinkToFit="0" wrapText="1"/>
    </xf>
    <xf borderId="3" fillId="9" fontId="27" numFmtId="0" xfId="0" applyAlignment="1" applyBorder="1" applyFont="1">
      <alignment vertical="bottom"/>
    </xf>
    <xf borderId="3" fillId="9" fontId="20" numFmtId="0" xfId="0" applyAlignment="1" applyBorder="1" applyFont="1">
      <alignment vertical="bottom"/>
    </xf>
    <xf borderId="3" fillId="0" fontId="28" numFmtId="164" xfId="0" applyAlignment="1" applyBorder="1" applyFont="1" applyNumberFormat="1">
      <alignment horizontal="right" readingOrder="0"/>
    </xf>
    <xf borderId="3" fillId="0" fontId="21" numFmtId="164" xfId="0" applyAlignment="1" applyBorder="1" applyFont="1" applyNumberFormat="1">
      <alignment readingOrder="0" vertical="bottom"/>
    </xf>
    <xf borderId="6" fillId="0" fontId="21" numFmtId="164" xfId="0" applyAlignment="1" applyBorder="1" applyFont="1" applyNumberFormat="1">
      <alignment horizontal="right" vertical="bottom"/>
    </xf>
    <xf borderId="3" fillId="0" fontId="27" numFmtId="164" xfId="0" applyAlignment="1" applyBorder="1" applyFont="1" applyNumberFormat="1">
      <alignment horizontal="right" vertical="bottom"/>
    </xf>
    <xf borderId="0" fillId="0" fontId="20" numFmtId="0" xfId="0" applyAlignment="1" applyFont="1">
      <alignment vertical="bottom"/>
    </xf>
    <xf borderId="3" fillId="21" fontId="20" numFmtId="164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ithub.com/" TargetMode="External"/><Relationship Id="rId10" Type="http://schemas.openxmlformats.org/officeDocument/2006/relationships/hyperlink" Target="https://developer.nvidia.com/" TargetMode="External"/><Relationship Id="rId13" Type="http://schemas.openxmlformats.org/officeDocument/2006/relationships/hyperlink" Target="https://www.lenovo.com/" TargetMode="External"/><Relationship Id="rId12" Type="http://schemas.openxmlformats.org/officeDocument/2006/relationships/hyperlink" Target="https://www.anker.com/" TargetMode="External"/><Relationship Id="rId1" Type="http://schemas.openxmlformats.org/officeDocument/2006/relationships/hyperlink" Target="https://www.xataka.com/" TargetMode="External"/><Relationship Id="rId2" Type="http://schemas.openxmlformats.org/officeDocument/2006/relationships/hyperlink" Target="https://developer.android.com/" TargetMode="External"/><Relationship Id="rId3" Type="http://schemas.openxmlformats.org/officeDocument/2006/relationships/hyperlink" Target="https://www.dell.com/" TargetMode="External"/><Relationship Id="rId4" Type="http://schemas.openxmlformats.org/officeDocument/2006/relationships/hyperlink" Target="https://www.logitech.com/" TargetMode="External"/><Relationship Id="rId9" Type="http://schemas.openxmlformats.org/officeDocument/2006/relationships/hyperlink" Target="https://www.techspot.com/" TargetMode="External"/><Relationship Id="rId15" Type="http://schemas.openxmlformats.org/officeDocument/2006/relationships/hyperlink" Target="https://stackoverflow.com/" TargetMode="External"/><Relationship Id="rId14" Type="http://schemas.openxmlformats.org/officeDocument/2006/relationships/hyperlink" Target="https://www.techradar.com/" TargetMode="External"/><Relationship Id="rId17" Type="http://schemas.openxmlformats.org/officeDocument/2006/relationships/hyperlink" Target="https://www.mercadolibre.com.co/" TargetMode="External"/><Relationship Id="rId16" Type="http://schemas.openxmlformats.org/officeDocument/2006/relationships/hyperlink" Target="https://www.jetbrains.com/" TargetMode="External"/><Relationship Id="rId5" Type="http://schemas.openxmlformats.org/officeDocument/2006/relationships/hyperlink" Target="https://www.razer.com/" TargetMode="External"/><Relationship Id="rId6" Type="http://schemas.openxmlformats.org/officeDocument/2006/relationships/hyperlink" Target="https://survey.stackoverflow.co/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about.gitlab.com/handbook/" TargetMode="External"/><Relationship Id="rId8" Type="http://schemas.openxmlformats.org/officeDocument/2006/relationships/hyperlink" Target="https://www.cpubenchmark.net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61.63"/>
    <col customWidth="1" min="3" max="3" width="30.75"/>
    <col customWidth="1" min="4" max="4" width="56.25"/>
    <col customWidth="1" min="5" max="5" width="54.38"/>
    <col customWidth="1" min="6" max="6" width="91.88"/>
    <col customWidth="1" min="7" max="7" width="37.25"/>
    <col customWidth="1" min="8" max="8" width="79.75"/>
    <col customWidth="1" min="9" max="9" width="37.63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3</v>
      </c>
      <c r="F2" s="3" t="s">
        <v>5</v>
      </c>
      <c r="G2" s="3" t="s">
        <v>3</v>
      </c>
      <c r="H2" s="3" t="s">
        <v>6</v>
      </c>
      <c r="I2" s="4"/>
    </row>
    <row r="3" ht="28.5" customHeight="1">
      <c r="A3" s="5" t="s">
        <v>7</v>
      </c>
      <c r="B3" s="6" t="s">
        <v>8</v>
      </c>
      <c r="C3" s="7">
        <v>300000.0</v>
      </c>
      <c r="D3" s="8" t="s">
        <v>9</v>
      </c>
      <c r="E3" s="7">
        <v>1000000.0</v>
      </c>
      <c r="F3" s="8" t="s">
        <v>10</v>
      </c>
      <c r="G3" s="7">
        <v>3500000.0</v>
      </c>
      <c r="H3" s="9" t="s">
        <v>11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ht="27.0" customHeight="1">
      <c r="A4" s="12"/>
      <c r="B4" s="8" t="s">
        <v>12</v>
      </c>
      <c r="C4" s="7">
        <v>1150000.0</v>
      </c>
      <c r="D4" s="8" t="s">
        <v>13</v>
      </c>
      <c r="E4" s="7">
        <v>1600000.0</v>
      </c>
      <c r="F4" s="8" t="s">
        <v>14</v>
      </c>
      <c r="G4" s="7">
        <v>4200000.0</v>
      </c>
      <c r="H4" s="9" t="s">
        <v>15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ht="26.25" customHeight="1">
      <c r="A5" s="8" t="s">
        <v>16</v>
      </c>
      <c r="B5" s="8" t="s">
        <v>17</v>
      </c>
      <c r="C5" s="7" t="s">
        <v>18</v>
      </c>
      <c r="D5" s="8" t="s">
        <v>19</v>
      </c>
      <c r="E5" s="7" t="s">
        <v>20</v>
      </c>
      <c r="F5" s="8" t="s">
        <v>21</v>
      </c>
      <c r="G5" s="7">
        <v>1200000.0</v>
      </c>
      <c r="H5" s="9" t="s">
        <v>22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26.25" customHeight="1">
      <c r="A6" s="8" t="s">
        <v>23</v>
      </c>
      <c r="B6" s="8" t="s">
        <v>24</v>
      </c>
      <c r="C6" s="7">
        <v>75000.0</v>
      </c>
      <c r="D6" s="8" t="s">
        <v>25</v>
      </c>
      <c r="E6" s="7">
        <v>500000.0</v>
      </c>
      <c r="F6" s="8" t="s">
        <v>26</v>
      </c>
      <c r="G6" s="7" t="s">
        <v>20</v>
      </c>
      <c r="H6" s="14" t="s">
        <v>27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26.25" customHeight="1">
      <c r="A7" s="8" t="s">
        <v>28</v>
      </c>
      <c r="B7" s="8" t="s">
        <v>29</v>
      </c>
      <c r="C7" s="7">
        <v>30000.0</v>
      </c>
      <c r="D7" s="8" t="s">
        <v>30</v>
      </c>
      <c r="E7" s="7">
        <v>150000.0</v>
      </c>
      <c r="F7" s="8" t="s">
        <v>31</v>
      </c>
      <c r="G7" s="7">
        <v>400000.0</v>
      </c>
      <c r="H7" s="1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ht="26.25" customHeight="1">
      <c r="A8" s="8" t="s">
        <v>32</v>
      </c>
      <c r="B8" s="8" t="s">
        <v>33</v>
      </c>
      <c r="C8" s="7" t="s">
        <v>34</v>
      </c>
      <c r="D8" s="8" t="s">
        <v>35</v>
      </c>
      <c r="E8" s="7" t="s">
        <v>34</v>
      </c>
      <c r="F8" s="8" t="s">
        <v>36</v>
      </c>
      <c r="G8" s="7">
        <v>800000.0</v>
      </c>
      <c r="H8" s="9" t="s">
        <v>37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ht="26.25" customHeight="1">
      <c r="A9" s="8" t="s">
        <v>38</v>
      </c>
      <c r="B9" s="8" t="s">
        <v>39</v>
      </c>
      <c r="C9" s="7" t="s">
        <v>40</v>
      </c>
      <c r="D9" s="8" t="s">
        <v>41</v>
      </c>
      <c r="E9" s="7" t="s">
        <v>40</v>
      </c>
      <c r="F9" s="8" t="s">
        <v>42</v>
      </c>
      <c r="G9" s="7" t="s">
        <v>40</v>
      </c>
      <c r="H9" s="9" t="s">
        <v>43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ht="26.25" customHeight="1">
      <c r="A10" s="8" t="s">
        <v>44</v>
      </c>
      <c r="B10" s="9" t="s">
        <v>45</v>
      </c>
      <c r="C10" s="7">
        <v>100000.0</v>
      </c>
      <c r="D10" s="8" t="s">
        <v>46</v>
      </c>
      <c r="E10" s="7">
        <v>120000.0</v>
      </c>
      <c r="F10" s="8" t="s">
        <v>47</v>
      </c>
      <c r="G10" s="7">
        <v>110000.0</v>
      </c>
      <c r="H10" s="9" t="s">
        <v>48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ht="26.25" customHeight="1">
      <c r="A11" s="8" t="s">
        <v>49</v>
      </c>
      <c r="B11" s="8" t="s">
        <v>50</v>
      </c>
      <c r="C11" s="7">
        <v>80000.0</v>
      </c>
      <c r="D11" s="8" t="s">
        <v>51</v>
      </c>
      <c r="E11" s="7">
        <v>120000.0</v>
      </c>
      <c r="F11" s="8" t="s">
        <v>52</v>
      </c>
      <c r="G11" s="7">
        <v>320000.0</v>
      </c>
      <c r="H11" s="9" t="s">
        <v>53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ht="26.25" customHeight="1">
      <c r="A12" s="8" t="s">
        <v>54</v>
      </c>
      <c r="B12" s="8" t="s">
        <v>55</v>
      </c>
      <c r="C12" s="7" t="s">
        <v>40</v>
      </c>
      <c r="D12" s="8" t="s">
        <v>56</v>
      </c>
      <c r="E12" s="7" t="s">
        <v>40</v>
      </c>
      <c r="F12" s="8" t="s">
        <v>57</v>
      </c>
      <c r="G12" s="7" t="s">
        <v>58</v>
      </c>
      <c r="H12" s="9" t="s">
        <v>59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26.25" customHeight="1">
      <c r="A13" s="5" t="s">
        <v>60</v>
      </c>
      <c r="B13" s="8" t="s">
        <v>61</v>
      </c>
      <c r="C13" s="7" t="s">
        <v>40</v>
      </c>
      <c r="D13" s="8" t="s">
        <v>61</v>
      </c>
      <c r="E13" s="7" t="s">
        <v>40</v>
      </c>
      <c r="F13" s="8" t="s">
        <v>62</v>
      </c>
      <c r="G13" s="7" t="s">
        <v>58</v>
      </c>
      <c r="H13" s="14" t="s">
        <v>63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26.25" customHeight="1">
      <c r="A14" s="12"/>
      <c r="B14" s="8" t="s">
        <v>64</v>
      </c>
      <c r="C14" s="7" t="s">
        <v>40</v>
      </c>
      <c r="D14" s="8" t="s">
        <v>64</v>
      </c>
      <c r="E14" s="7" t="s">
        <v>40</v>
      </c>
      <c r="F14" s="8" t="s">
        <v>65</v>
      </c>
      <c r="G14" s="7" t="s">
        <v>40</v>
      </c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ht="15.75" customHeight="1">
      <c r="C15" s="15">
        <f>C3+C4+C6+C7+C10+C11</f>
        <v>1735000</v>
      </c>
      <c r="E15" s="16">
        <f>E3+E4+E6+E7+E10+E11</f>
        <v>3490000</v>
      </c>
      <c r="G15" s="16">
        <f>G3+G4+G5+G7+G8+G10+G11</f>
        <v>10530000</v>
      </c>
    </row>
    <row r="16" ht="15.75" customHeight="1"/>
    <row r="17" ht="15.75" customHeight="1"/>
    <row r="18">
      <c r="A18" s="17" t="s">
        <v>66</v>
      </c>
      <c r="B18" s="18"/>
      <c r="C18" s="18"/>
      <c r="D18" s="18"/>
      <c r="E18" s="19"/>
      <c r="F18" s="20"/>
    </row>
    <row r="19" ht="15.75" customHeight="1">
      <c r="A19" s="3" t="s">
        <v>67</v>
      </c>
      <c r="B19" s="3" t="s">
        <v>68</v>
      </c>
      <c r="C19" s="3" t="s">
        <v>69</v>
      </c>
      <c r="D19" s="3" t="s">
        <v>70</v>
      </c>
      <c r="E19" s="3" t="s">
        <v>71</v>
      </c>
      <c r="F19" s="21" t="s">
        <v>72</v>
      </c>
      <c r="H19" s="4"/>
      <c r="I19" s="4"/>
    </row>
    <row r="20" ht="15.75" customHeight="1">
      <c r="A20" s="22" t="s">
        <v>73</v>
      </c>
      <c r="B20" s="22" t="s">
        <v>74</v>
      </c>
      <c r="C20" s="22" t="s">
        <v>75</v>
      </c>
      <c r="D20" s="22" t="s">
        <v>76</v>
      </c>
      <c r="E20" s="22" t="s">
        <v>77</v>
      </c>
      <c r="F20" s="23" t="s">
        <v>78</v>
      </c>
    </row>
    <row r="21" ht="15.75" customHeight="1">
      <c r="A21" s="22" t="s">
        <v>79</v>
      </c>
      <c r="B21" s="22" t="s">
        <v>80</v>
      </c>
      <c r="C21" s="22" t="s">
        <v>81</v>
      </c>
      <c r="D21" s="22" t="s">
        <v>82</v>
      </c>
      <c r="E21" s="22" t="s">
        <v>83</v>
      </c>
      <c r="F21" s="23" t="s">
        <v>84</v>
      </c>
    </row>
    <row r="22" ht="15.75" customHeight="1">
      <c r="A22" s="22" t="s">
        <v>85</v>
      </c>
      <c r="B22" s="22" t="s">
        <v>86</v>
      </c>
      <c r="C22" s="22" t="s">
        <v>87</v>
      </c>
      <c r="D22" s="22" t="s">
        <v>88</v>
      </c>
      <c r="E22" s="22" t="s">
        <v>89</v>
      </c>
      <c r="F22" s="23" t="s">
        <v>90</v>
      </c>
    </row>
    <row r="23" ht="15.75" customHeight="1">
      <c r="A23" s="22" t="s">
        <v>49</v>
      </c>
      <c r="B23" s="22" t="s">
        <v>91</v>
      </c>
      <c r="C23" s="22" t="s">
        <v>92</v>
      </c>
      <c r="D23" s="22" t="s">
        <v>93</v>
      </c>
      <c r="E23" s="22" t="s">
        <v>94</v>
      </c>
      <c r="F23" s="23" t="s">
        <v>95</v>
      </c>
    </row>
    <row r="24" ht="15.75" customHeight="1">
      <c r="A24" s="22" t="s">
        <v>96</v>
      </c>
      <c r="B24" s="22" t="s">
        <v>97</v>
      </c>
      <c r="C24" s="22" t="s">
        <v>98</v>
      </c>
      <c r="D24" s="22" t="s">
        <v>99</v>
      </c>
      <c r="E24" s="22" t="s">
        <v>100</v>
      </c>
      <c r="F24" s="23" t="s">
        <v>101</v>
      </c>
    </row>
    <row r="25" ht="15.75" customHeight="1">
      <c r="A25" s="22" t="s">
        <v>102</v>
      </c>
      <c r="B25" s="22" t="s">
        <v>103</v>
      </c>
      <c r="C25" s="22" t="s">
        <v>104</v>
      </c>
      <c r="D25" s="22" t="s">
        <v>105</v>
      </c>
      <c r="E25" s="22" t="s">
        <v>106</v>
      </c>
      <c r="F25" s="23" t="s">
        <v>107</v>
      </c>
    </row>
    <row r="26" ht="15.75" customHeight="1"/>
    <row r="27" ht="15.75" customHeight="1">
      <c r="F27" s="4"/>
      <c r="G27" s="4"/>
    </row>
    <row r="28">
      <c r="A28" s="24" t="s">
        <v>108</v>
      </c>
      <c r="B28" s="18"/>
      <c r="C28" s="18"/>
      <c r="D28" s="18"/>
      <c r="E28" s="18"/>
      <c r="F28" s="18"/>
      <c r="G28" s="18"/>
      <c r="H28" s="19"/>
    </row>
    <row r="29" ht="15.75" customHeight="1">
      <c r="A29" s="25" t="s">
        <v>1</v>
      </c>
      <c r="B29" s="25" t="s">
        <v>2</v>
      </c>
      <c r="C29" s="25" t="s">
        <v>3</v>
      </c>
      <c r="D29" s="25" t="s">
        <v>4</v>
      </c>
      <c r="E29" s="25" t="s">
        <v>3</v>
      </c>
      <c r="F29" s="25" t="s">
        <v>5</v>
      </c>
      <c r="G29" s="25" t="s">
        <v>3</v>
      </c>
      <c r="H29" s="25" t="s">
        <v>109</v>
      </c>
    </row>
    <row r="30" ht="30.75" customHeight="1">
      <c r="A30" s="9" t="s">
        <v>110</v>
      </c>
      <c r="B30" s="9" t="s">
        <v>111</v>
      </c>
      <c r="C30" s="9" t="s">
        <v>40</v>
      </c>
      <c r="D30" s="9" t="s">
        <v>112</v>
      </c>
      <c r="E30" s="9" t="s">
        <v>40</v>
      </c>
      <c r="F30" s="9" t="s">
        <v>42</v>
      </c>
      <c r="G30" s="9" t="s">
        <v>40</v>
      </c>
      <c r="H30" s="9" t="s">
        <v>43</v>
      </c>
    </row>
    <row r="31" ht="27.75" customHeight="1">
      <c r="A31" s="9" t="s">
        <v>113</v>
      </c>
      <c r="B31" s="9" t="s">
        <v>114</v>
      </c>
      <c r="C31" s="9" t="s">
        <v>40</v>
      </c>
      <c r="D31" s="9" t="s">
        <v>115</v>
      </c>
      <c r="E31" s="9" t="s">
        <v>40</v>
      </c>
      <c r="F31" s="9" t="s">
        <v>116</v>
      </c>
      <c r="G31" s="9" t="s">
        <v>117</v>
      </c>
      <c r="H31" s="9" t="s">
        <v>59</v>
      </c>
    </row>
    <row r="32" ht="28.5" customHeight="1">
      <c r="A32" s="9" t="s">
        <v>102</v>
      </c>
      <c r="B32" s="9" t="s">
        <v>118</v>
      </c>
      <c r="C32" s="9" t="s">
        <v>119</v>
      </c>
      <c r="D32" s="9" t="s">
        <v>120</v>
      </c>
      <c r="E32" s="9" t="s">
        <v>121</v>
      </c>
      <c r="F32" s="9" t="s">
        <v>122</v>
      </c>
      <c r="G32" s="9" t="s">
        <v>104</v>
      </c>
      <c r="H32" s="9" t="s">
        <v>48</v>
      </c>
    </row>
    <row r="33" ht="15.75" customHeight="1"/>
    <row r="34" ht="15.75" customHeight="1"/>
    <row r="35">
      <c r="A35" s="26" t="s">
        <v>123</v>
      </c>
      <c r="B35" s="18"/>
      <c r="C35" s="18"/>
      <c r="D35" s="18"/>
      <c r="E35" s="19"/>
      <c r="F35" s="20"/>
    </row>
    <row r="36" ht="15.75" customHeight="1">
      <c r="A36" s="27" t="s">
        <v>124</v>
      </c>
      <c r="B36" s="27" t="s">
        <v>68</v>
      </c>
      <c r="C36" s="27" t="s">
        <v>125</v>
      </c>
      <c r="D36" s="27" t="s">
        <v>70</v>
      </c>
      <c r="E36" s="27" t="s">
        <v>71</v>
      </c>
      <c r="F36" s="21" t="s">
        <v>72</v>
      </c>
    </row>
    <row r="37" ht="15.75" customHeight="1">
      <c r="A37" s="28" t="s">
        <v>110</v>
      </c>
      <c r="B37" s="28" t="s">
        <v>42</v>
      </c>
      <c r="C37" s="28" t="s">
        <v>40</v>
      </c>
      <c r="D37" s="28" t="s">
        <v>126</v>
      </c>
      <c r="E37" s="28" t="s">
        <v>127</v>
      </c>
      <c r="F37" s="23" t="s">
        <v>128</v>
      </c>
    </row>
    <row r="38" ht="15.75" customHeight="1">
      <c r="A38" s="28" t="s">
        <v>113</v>
      </c>
      <c r="B38" s="28" t="s">
        <v>116</v>
      </c>
      <c r="C38" s="28" t="s">
        <v>129</v>
      </c>
      <c r="D38" s="28" t="s">
        <v>130</v>
      </c>
      <c r="E38" s="28" t="s">
        <v>131</v>
      </c>
      <c r="F38" s="23" t="s">
        <v>132</v>
      </c>
    </row>
    <row r="39" ht="15.75" customHeight="1">
      <c r="A39" s="28" t="s">
        <v>102</v>
      </c>
      <c r="B39" s="28" t="s">
        <v>133</v>
      </c>
      <c r="C39" s="28" t="s">
        <v>104</v>
      </c>
      <c r="D39" s="28" t="s">
        <v>134</v>
      </c>
      <c r="E39" s="28" t="s">
        <v>135</v>
      </c>
      <c r="F39" s="23" t="s">
        <v>136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B46" s="29"/>
      <c r="C46" s="29"/>
      <c r="D46" s="29"/>
      <c r="E46" s="29"/>
      <c r="F46" s="29"/>
      <c r="G46" s="29"/>
    </row>
    <row r="47" ht="15.75" customHeight="1">
      <c r="C47" s="29"/>
      <c r="D47" s="29"/>
      <c r="E47" s="29"/>
      <c r="F47" s="29"/>
      <c r="G47" s="29"/>
      <c r="H47" s="29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A1:H1"/>
    <mergeCell ref="A3:A4"/>
    <mergeCell ref="H6:H7"/>
    <mergeCell ref="A13:A14"/>
    <mergeCell ref="H13:H14"/>
    <mergeCell ref="A18:E18"/>
    <mergeCell ref="A28:H28"/>
    <mergeCell ref="A35:E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33.38"/>
    <col customWidth="1" min="3" max="3" width="39.25"/>
    <col customWidth="1" min="4" max="4" width="63.0"/>
    <col customWidth="1" min="5" max="5" width="27.88"/>
    <col customWidth="1" min="7" max="7" width="30.25"/>
    <col customWidth="1" min="8" max="8" width="18.75"/>
    <col customWidth="1" min="9" max="9" width="89.75"/>
  </cols>
  <sheetData>
    <row r="1" ht="15.75" customHeight="1">
      <c r="A1" s="30" t="s">
        <v>137</v>
      </c>
      <c r="B1" s="18"/>
      <c r="C1" s="19"/>
      <c r="D1" s="31"/>
      <c r="E1" s="32"/>
      <c r="F1" s="32"/>
      <c r="G1" s="32"/>
      <c r="H1" s="32"/>
      <c r="I1" s="32"/>
      <c r="J1" s="32"/>
      <c r="K1" s="32"/>
      <c r="L1" s="32"/>
      <c r="M1" s="32"/>
    </row>
    <row r="2" ht="31.5" customHeight="1">
      <c r="A2" s="33" t="s">
        <v>1</v>
      </c>
      <c r="B2" s="34" t="s">
        <v>138</v>
      </c>
      <c r="C2" s="34" t="s">
        <v>139</v>
      </c>
      <c r="D2" s="34" t="s">
        <v>140</v>
      </c>
      <c r="E2" s="35" t="s">
        <v>141</v>
      </c>
      <c r="F2" s="35" t="s">
        <v>142</v>
      </c>
      <c r="G2" s="35" t="s">
        <v>143</v>
      </c>
      <c r="H2" s="35" t="s">
        <v>142</v>
      </c>
      <c r="I2" s="35" t="s">
        <v>144</v>
      </c>
      <c r="J2" s="32"/>
      <c r="K2" s="32"/>
      <c r="L2" s="32"/>
      <c r="M2" s="32"/>
    </row>
    <row r="3" ht="15.75" customHeight="1">
      <c r="A3" s="33" t="s">
        <v>145</v>
      </c>
      <c r="B3" s="36" t="s">
        <v>146</v>
      </c>
      <c r="C3" s="37" t="s">
        <v>147</v>
      </c>
      <c r="D3" s="38">
        <v>1500000.0</v>
      </c>
      <c r="E3" s="37" t="s">
        <v>148</v>
      </c>
      <c r="F3" s="38">
        <v>3000000.0</v>
      </c>
      <c r="G3" s="37" t="s">
        <v>149</v>
      </c>
      <c r="H3" s="38">
        <v>6000000.0</v>
      </c>
      <c r="I3" s="37" t="s">
        <v>150</v>
      </c>
      <c r="J3" s="32"/>
      <c r="K3" s="32"/>
      <c r="L3" s="32"/>
      <c r="M3" s="32"/>
    </row>
    <row r="4" ht="15.75" customHeight="1">
      <c r="A4" s="36"/>
      <c r="B4" s="36" t="s">
        <v>151</v>
      </c>
      <c r="C4" s="37" t="s">
        <v>152</v>
      </c>
      <c r="D4" s="38">
        <v>1000000.0</v>
      </c>
      <c r="E4" s="37" t="s">
        <v>153</v>
      </c>
      <c r="F4" s="38">
        <v>2000000.0</v>
      </c>
      <c r="G4" s="37" t="s">
        <v>154</v>
      </c>
      <c r="H4" s="38">
        <v>3500000.0</v>
      </c>
      <c r="I4" s="39" t="s">
        <v>155</v>
      </c>
      <c r="J4" s="32"/>
      <c r="K4" s="32"/>
      <c r="L4" s="32"/>
      <c r="M4" s="32"/>
    </row>
    <row r="5" ht="15.75" customHeight="1">
      <c r="A5" s="36"/>
      <c r="B5" s="36" t="s">
        <v>96</v>
      </c>
      <c r="C5" s="37" t="s">
        <v>156</v>
      </c>
      <c r="D5" s="38">
        <v>450000.0</v>
      </c>
      <c r="E5" s="37" t="s">
        <v>157</v>
      </c>
      <c r="F5" s="38">
        <v>1000000.0</v>
      </c>
      <c r="G5" s="37" t="s">
        <v>158</v>
      </c>
      <c r="H5" s="38">
        <v>2000000.0</v>
      </c>
      <c r="I5" s="39" t="s">
        <v>159</v>
      </c>
      <c r="J5" s="32"/>
      <c r="K5" s="32"/>
      <c r="L5" s="32"/>
      <c r="M5" s="32"/>
    </row>
    <row r="6" ht="15.75" customHeight="1">
      <c r="A6" s="33" t="s">
        <v>160</v>
      </c>
      <c r="B6" s="36" t="s">
        <v>161</v>
      </c>
      <c r="C6" s="37" t="s">
        <v>162</v>
      </c>
      <c r="D6" s="38">
        <v>380000.0</v>
      </c>
      <c r="E6" s="37" t="s">
        <v>163</v>
      </c>
      <c r="F6" s="38">
        <v>500000.0</v>
      </c>
      <c r="G6" s="37" t="s">
        <v>164</v>
      </c>
      <c r="H6" s="38">
        <v>1700000.0</v>
      </c>
      <c r="I6" s="39" t="s">
        <v>165</v>
      </c>
      <c r="J6" s="32"/>
      <c r="K6" s="32"/>
      <c r="L6" s="32"/>
      <c r="M6" s="32"/>
    </row>
    <row r="7" ht="15.75" customHeight="1">
      <c r="A7" s="36"/>
      <c r="B7" s="36" t="s">
        <v>166</v>
      </c>
      <c r="C7" s="37" t="s">
        <v>167</v>
      </c>
      <c r="D7" s="38">
        <v>50000.0</v>
      </c>
      <c r="E7" s="37" t="s">
        <v>168</v>
      </c>
      <c r="F7" s="38">
        <v>150000.0</v>
      </c>
      <c r="G7" s="37" t="s">
        <v>169</v>
      </c>
      <c r="H7" s="38">
        <v>400000.0</v>
      </c>
      <c r="I7" s="39" t="s">
        <v>170</v>
      </c>
      <c r="J7" s="32"/>
      <c r="K7" s="32"/>
      <c r="L7" s="32"/>
      <c r="M7" s="32"/>
    </row>
    <row r="8" ht="15.75" customHeight="1">
      <c r="A8" s="36"/>
      <c r="B8" s="36" t="s">
        <v>171</v>
      </c>
      <c r="C8" s="37" t="s">
        <v>172</v>
      </c>
      <c r="D8" s="38">
        <v>30000.0</v>
      </c>
      <c r="E8" s="37" t="s">
        <v>173</v>
      </c>
      <c r="F8" s="38">
        <v>100000.0</v>
      </c>
      <c r="G8" s="37" t="s">
        <v>174</v>
      </c>
      <c r="H8" s="38">
        <v>300000.0</v>
      </c>
      <c r="I8" s="39" t="s">
        <v>175</v>
      </c>
      <c r="J8" s="32"/>
      <c r="K8" s="32"/>
      <c r="L8" s="32"/>
      <c r="M8" s="32"/>
    </row>
    <row r="9" ht="15.75" customHeight="1">
      <c r="A9" s="36"/>
      <c r="B9" s="36" t="s">
        <v>176</v>
      </c>
      <c r="C9" s="37" t="s">
        <v>177</v>
      </c>
      <c r="D9" s="38">
        <v>100000.0</v>
      </c>
      <c r="E9" s="37" t="s">
        <v>178</v>
      </c>
      <c r="F9" s="38">
        <v>250000.0</v>
      </c>
      <c r="G9" s="37" t="s">
        <v>179</v>
      </c>
      <c r="H9" s="38">
        <v>500000.0</v>
      </c>
      <c r="I9" s="39" t="s">
        <v>180</v>
      </c>
      <c r="J9" s="32"/>
      <c r="K9" s="32"/>
      <c r="L9" s="32"/>
      <c r="M9" s="32"/>
    </row>
    <row r="10" ht="15.75" customHeight="1">
      <c r="A10" s="36"/>
      <c r="B10" s="36" t="s">
        <v>181</v>
      </c>
      <c r="C10" s="37" t="s">
        <v>182</v>
      </c>
      <c r="D10" s="38">
        <v>50000.0</v>
      </c>
      <c r="E10" s="37" t="s">
        <v>183</v>
      </c>
      <c r="F10" s="38">
        <v>200000.0</v>
      </c>
      <c r="G10" s="37" t="s">
        <v>184</v>
      </c>
      <c r="H10" s="38">
        <v>800000.0</v>
      </c>
      <c r="I10" s="39" t="s">
        <v>185</v>
      </c>
      <c r="J10" s="32"/>
      <c r="K10" s="32"/>
      <c r="L10" s="32"/>
      <c r="M10" s="32"/>
    </row>
    <row r="11" ht="15.75" customHeight="1">
      <c r="A11" s="33" t="s">
        <v>186</v>
      </c>
      <c r="B11" s="36" t="s">
        <v>28</v>
      </c>
      <c r="C11" s="37" t="s">
        <v>187</v>
      </c>
      <c r="D11" s="38">
        <v>150000.0</v>
      </c>
      <c r="E11" s="37" t="s">
        <v>188</v>
      </c>
      <c r="F11" s="38">
        <v>250000.0</v>
      </c>
      <c r="G11" s="37" t="s">
        <v>189</v>
      </c>
      <c r="H11" s="38">
        <v>400000.0</v>
      </c>
      <c r="I11" s="37" t="s">
        <v>190</v>
      </c>
      <c r="J11" s="32"/>
      <c r="K11" s="32"/>
      <c r="L11" s="32"/>
      <c r="M11" s="32"/>
    </row>
    <row r="12" ht="15.75" customHeight="1">
      <c r="A12" s="40"/>
      <c r="B12" s="36" t="s">
        <v>23</v>
      </c>
      <c r="C12" s="37" t="s">
        <v>191</v>
      </c>
      <c r="D12" s="38">
        <v>300000.0</v>
      </c>
      <c r="E12" s="37" t="s">
        <v>192</v>
      </c>
      <c r="F12" s="38">
        <v>800000.0</v>
      </c>
      <c r="G12" s="37" t="s">
        <v>193</v>
      </c>
      <c r="H12" s="38">
        <v>1800000.0</v>
      </c>
      <c r="I12" s="39" t="s">
        <v>194</v>
      </c>
      <c r="J12" s="32"/>
      <c r="K12" s="32"/>
      <c r="L12" s="32"/>
      <c r="M12" s="32"/>
    </row>
    <row r="13" ht="15.75" customHeight="1">
      <c r="A13" s="40"/>
      <c r="B13" s="36" t="s">
        <v>195</v>
      </c>
      <c r="C13" s="37" t="s">
        <v>196</v>
      </c>
      <c r="D13" s="38">
        <v>200000.0</v>
      </c>
      <c r="E13" s="37" t="s">
        <v>197</v>
      </c>
      <c r="F13" s="38">
        <v>400000.0</v>
      </c>
      <c r="G13" s="37" t="s">
        <v>198</v>
      </c>
      <c r="H13" s="38">
        <v>800000.0</v>
      </c>
      <c r="I13" s="39" t="s">
        <v>199</v>
      </c>
      <c r="J13" s="32"/>
      <c r="K13" s="32"/>
      <c r="L13" s="32"/>
      <c r="M13" s="32"/>
    </row>
    <row r="14" ht="15.75" customHeight="1">
      <c r="A14" s="40"/>
      <c r="B14" s="36" t="s">
        <v>200</v>
      </c>
      <c r="C14" s="37" t="s">
        <v>201</v>
      </c>
      <c r="D14" s="38">
        <v>0.0</v>
      </c>
      <c r="E14" s="37" t="s">
        <v>202</v>
      </c>
      <c r="F14" s="38">
        <v>1360000.0</v>
      </c>
      <c r="G14" s="37" t="s">
        <v>203</v>
      </c>
      <c r="H14" s="38">
        <v>3000000.0</v>
      </c>
      <c r="I14" s="39" t="s">
        <v>204</v>
      </c>
      <c r="J14" s="32"/>
      <c r="K14" s="32"/>
      <c r="L14" s="32"/>
      <c r="M14" s="32"/>
    </row>
    <row r="15" ht="15.75" customHeight="1">
      <c r="A15" s="33" t="s">
        <v>205</v>
      </c>
      <c r="B15" s="36" t="s">
        <v>206</v>
      </c>
      <c r="C15" s="37" t="s">
        <v>207</v>
      </c>
      <c r="D15" s="38">
        <v>50000.0</v>
      </c>
      <c r="E15" s="37" t="s">
        <v>208</v>
      </c>
      <c r="F15" s="38">
        <v>100000.0</v>
      </c>
      <c r="G15" s="37" t="s">
        <v>209</v>
      </c>
      <c r="H15" s="38">
        <v>200000.0</v>
      </c>
      <c r="I15" s="39" t="s">
        <v>210</v>
      </c>
      <c r="J15" s="32"/>
      <c r="K15" s="32"/>
      <c r="L15" s="32"/>
      <c r="M15" s="32"/>
    </row>
    <row r="16" ht="15.75" customHeight="1">
      <c r="A16" s="40"/>
      <c r="B16" s="36" t="s">
        <v>211</v>
      </c>
      <c r="C16" s="37" t="s">
        <v>212</v>
      </c>
      <c r="D16" s="38">
        <v>50000.0</v>
      </c>
      <c r="E16" s="37" t="s">
        <v>213</v>
      </c>
      <c r="F16" s="38">
        <v>150000.0</v>
      </c>
      <c r="G16" s="37" t="s">
        <v>214</v>
      </c>
      <c r="H16" s="38">
        <v>400000.0</v>
      </c>
      <c r="I16" s="39" t="s">
        <v>215</v>
      </c>
      <c r="J16" s="32"/>
      <c r="K16" s="32"/>
      <c r="L16" s="32"/>
      <c r="M16" s="32"/>
    </row>
    <row r="17" ht="15.75" customHeight="1">
      <c r="A17" s="40"/>
      <c r="B17" s="36" t="s">
        <v>216</v>
      </c>
      <c r="C17" s="37" t="s">
        <v>217</v>
      </c>
      <c r="D17" s="38">
        <v>30000.0</v>
      </c>
      <c r="E17" s="37" t="s">
        <v>218</v>
      </c>
      <c r="F17" s="38">
        <v>100000.0</v>
      </c>
      <c r="G17" s="37" t="s">
        <v>219</v>
      </c>
      <c r="H17" s="38" t="s">
        <v>220</v>
      </c>
      <c r="I17" s="37" t="s">
        <v>221</v>
      </c>
      <c r="J17" s="32"/>
      <c r="K17" s="32"/>
      <c r="L17" s="32"/>
      <c r="M17" s="32"/>
    </row>
    <row r="18" ht="15.75" customHeight="1">
      <c r="A18" s="32"/>
      <c r="B18" s="32"/>
      <c r="C18" s="37" t="s">
        <v>222</v>
      </c>
      <c r="D18" s="38">
        <f>SUM(D3:D17)</f>
        <v>4340000</v>
      </c>
      <c r="E18" s="37" t="s">
        <v>222</v>
      </c>
      <c r="F18" s="38">
        <f>SUM(F3:F17)</f>
        <v>10360000</v>
      </c>
      <c r="G18" s="37" t="s">
        <v>222</v>
      </c>
      <c r="H18" s="38">
        <f>SUM(H3:H16)</f>
        <v>21800000</v>
      </c>
      <c r="I18" s="32"/>
      <c r="J18" s="32"/>
      <c r="K18" s="32"/>
      <c r="L18" s="32"/>
      <c r="M18" s="32"/>
    </row>
    <row r="19" ht="15.75" customHeight="1">
      <c r="A19" s="32"/>
      <c r="B19" s="32"/>
      <c r="C19" s="32"/>
      <c r="D19" s="32"/>
      <c r="E19" s="32"/>
      <c r="F19" s="32"/>
      <c r="G19" s="32"/>
      <c r="H19" s="32"/>
      <c r="I19" s="41"/>
      <c r="J19" s="41"/>
      <c r="K19" s="32"/>
      <c r="L19" s="32"/>
      <c r="M19" s="32"/>
    </row>
    <row r="20" ht="15.75" customHeight="1">
      <c r="A20" s="42" t="s">
        <v>223</v>
      </c>
      <c r="B20" s="42" t="s">
        <v>224</v>
      </c>
      <c r="C20" s="42" t="s">
        <v>225</v>
      </c>
      <c r="D20" s="37"/>
      <c r="E20" s="32"/>
      <c r="F20" s="32"/>
      <c r="G20" s="41"/>
      <c r="H20" s="41"/>
      <c r="I20" s="32"/>
      <c r="J20" s="32"/>
      <c r="K20" s="32"/>
      <c r="L20" s="32"/>
      <c r="M20" s="32"/>
    </row>
    <row r="21" ht="15.75" customHeight="1">
      <c r="A21" s="37" t="s">
        <v>226</v>
      </c>
      <c r="B21" s="37" t="s">
        <v>227</v>
      </c>
      <c r="C21" s="39" t="s">
        <v>228</v>
      </c>
      <c r="D21" s="37"/>
      <c r="E21" s="32"/>
      <c r="F21" s="32"/>
      <c r="G21" s="32"/>
      <c r="H21" s="32"/>
      <c r="I21" s="32"/>
      <c r="J21" s="32"/>
      <c r="K21" s="32"/>
      <c r="L21" s="32"/>
      <c r="M21" s="32"/>
    </row>
    <row r="22" ht="15.75" customHeight="1">
      <c r="A22" s="37" t="s">
        <v>229</v>
      </c>
      <c r="B22" s="37" t="s">
        <v>230</v>
      </c>
      <c r="C22" s="39" t="s">
        <v>231</v>
      </c>
      <c r="D22" s="37"/>
      <c r="E22" s="32"/>
      <c r="F22" s="32"/>
      <c r="G22" s="32"/>
      <c r="H22" s="32"/>
      <c r="I22" s="32"/>
      <c r="J22" s="32"/>
      <c r="K22" s="41"/>
      <c r="L22" s="41"/>
      <c r="M22" s="41"/>
      <c r="N22" s="4"/>
      <c r="O22" s="4"/>
    </row>
    <row r="23" ht="15.75" customHeight="1">
      <c r="A23" s="37" t="s">
        <v>232</v>
      </c>
      <c r="B23" s="37" t="s">
        <v>233</v>
      </c>
      <c r="C23" s="43" t="s">
        <v>234</v>
      </c>
      <c r="D23" s="44"/>
      <c r="E23" s="32"/>
      <c r="F23" s="32"/>
      <c r="G23" s="32"/>
      <c r="H23" s="32"/>
      <c r="I23" s="32"/>
      <c r="J23" s="32"/>
      <c r="K23" s="45"/>
      <c r="L23" s="32"/>
      <c r="M23" s="45"/>
      <c r="O23" s="46"/>
    </row>
    <row r="24" ht="15.75" customHeight="1">
      <c r="A24" s="37" t="s">
        <v>235</v>
      </c>
      <c r="B24" s="37" t="s">
        <v>236</v>
      </c>
      <c r="C24" s="39" t="s">
        <v>237</v>
      </c>
      <c r="D24" s="47"/>
      <c r="E24" s="32"/>
      <c r="F24" s="48"/>
      <c r="G24" s="32"/>
      <c r="H24" s="32"/>
      <c r="I24" s="32"/>
      <c r="J24" s="32"/>
      <c r="K24" s="45"/>
      <c r="L24" s="32"/>
      <c r="M24" s="45"/>
      <c r="O24" s="46"/>
    </row>
    <row r="25" ht="15.75" customHeight="1">
      <c r="A25" s="37" t="s">
        <v>238</v>
      </c>
      <c r="B25" s="49" t="s">
        <v>239</v>
      </c>
      <c r="C25" s="39" t="s">
        <v>240</v>
      </c>
      <c r="D25" s="37"/>
      <c r="E25" s="32"/>
      <c r="F25" s="32"/>
      <c r="G25" s="32"/>
      <c r="H25" s="32"/>
      <c r="I25" s="32"/>
      <c r="J25" s="32"/>
      <c r="K25" s="45"/>
      <c r="L25" s="32"/>
      <c r="M25" s="45"/>
      <c r="O25" s="46"/>
    </row>
    <row r="26" ht="15.75" customHeight="1">
      <c r="A26" s="32"/>
      <c r="B26" s="32"/>
      <c r="C26" s="50"/>
      <c r="D26" s="32"/>
      <c r="E26" s="32"/>
      <c r="F26" s="32"/>
      <c r="G26" s="32"/>
      <c r="H26" s="32"/>
      <c r="I26" s="32"/>
      <c r="J26" s="32"/>
      <c r="K26" s="45"/>
      <c r="L26" s="32"/>
      <c r="M26" s="45"/>
      <c r="O26" s="46"/>
    </row>
    <row r="27" ht="15.75" customHeight="1">
      <c r="A27" s="32"/>
      <c r="B27" s="32"/>
      <c r="C27" s="50"/>
      <c r="D27" s="32"/>
      <c r="E27" s="32"/>
      <c r="F27" s="32"/>
      <c r="G27" s="32"/>
      <c r="H27" s="32"/>
      <c r="I27" s="32"/>
      <c r="J27" s="32"/>
      <c r="K27" s="45"/>
      <c r="L27" s="32"/>
      <c r="M27" s="45"/>
      <c r="O27" s="46"/>
    </row>
    <row r="28" ht="15.75" customHeight="1">
      <c r="A28" s="30" t="s">
        <v>241</v>
      </c>
      <c r="B28" s="18"/>
      <c r="C28" s="19"/>
      <c r="D28" s="31"/>
      <c r="E28" s="32"/>
      <c r="F28" s="32"/>
      <c r="G28" s="32"/>
      <c r="H28" s="32"/>
      <c r="I28" s="32"/>
      <c r="J28" s="32"/>
      <c r="K28" s="45"/>
      <c r="L28" s="32"/>
      <c r="M28" s="45"/>
      <c r="O28" s="46"/>
    </row>
    <row r="29" ht="15.75" customHeight="1">
      <c r="A29" s="51" t="s">
        <v>1</v>
      </c>
      <c r="B29" s="51" t="s">
        <v>242</v>
      </c>
      <c r="C29" s="51" t="s">
        <v>2</v>
      </c>
      <c r="D29" s="51" t="s">
        <v>125</v>
      </c>
      <c r="E29" s="51" t="s">
        <v>243</v>
      </c>
      <c r="F29" s="51" t="s">
        <v>244</v>
      </c>
      <c r="G29" s="51" t="s">
        <v>5</v>
      </c>
      <c r="H29" s="51" t="s">
        <v>244</v>
      </c>
      <c r="I29" s="51" t="s">
        <v>245</v>
      </c>
      <c r="J29" s="32"/>
      <c r="K29" s="45"/>
      <c r="L29" s="32"/>
      <c r="M29" s="45"/>
      <c r="O29" s="46"/>
    </row>
    <row r="30" ht="15.75" customHeight="1">
      <c r="A30" s="37" t="s">
        <v>16</v>
      </c>
      <c r="B30" s="37" t="s">
        <v>246</v>
      </c>
      <c r="C30" s="37" t="s">
        <v>247</v>
      </c>
      <c r="D30" s="52">
        <v>400000.0</v>
      </c>
      <c r="E30" s="37" t="s">
        <v>248</v>
      </c>
      <c r="F30" s="52">
        <v>700000.0</v>
      </c>
      <c r="G30" s="37" t="s">
        <v>249</v>
      </c>
      <c r="H30" s="37" t="s">
        <v>250</v>
      </c>
      <c r="I30" s="37" t="s">
        <v>251</v>
      </c>
      <c r="J30" s="32"/>
      <c r="K30" s="45"/>
      <c r="L30" s="32"/>
      <c r="M30" s="45"/>
      <c r="O30" s="46"/>
    </row>
    <row r="31" ht="15.75" customHeight="1">
      <c r="A31" s="37" t="s">
        <v>252</v>
      </c>
      <c r="B31" s="37" t="s">
        <v>253</v>
      </c>
      <c r="C31" s="37" t="s">
        <v>254</v>
      </c>
      <c r="D31" s="37" t="s">
        <v>40</v>
      </c>
      <c r="E31" s="37" t="s">
        <v>255</v>
      </c>
      <c r="F31" s="37" t="s">
        <v>40</v>
      </c>
      <c r="G31" s="37" t="s">
        <v>256</v>
      </c>
      <c r="H31" s="37" t="s">
        <v>257</v>
      </c>
      <c r="I31" s="37" t="s">
        <v>258</v>
      </c>
      <c r="J31" s="32"/>
      <c r="K31" s="45"/>
      <c r="L31" s="32"/>
      <c r="M31" s="45"/>
      <c r="O31" s="46"/>
    </row>
    <row r="32" ht="15.75" customHeight="1">
      <c r="A32" s="37" t="s">
        <v>259</v>
      </c>
      <c r="B32" s="37" t="s">
        <v>260</v>
      </c>
      <c r="C32" s="37" t="s">
        <v>261</v>
      </c>
      <c r="D32" s="37" t="s">
        <v>40</v>
      </c>
      <c r="E32" s="37" t="s">
        <v>262</v>
      </c>
      <c r="F32" s="37" t="s">
        <v>40</v>
      </c>
      <c r="G32" s="37" t="s">
        <v>263</v>
      </c>
      <c r="H32" s="37" t="s">
        <v>264</v>
      </c>
      <c r="I32" s="37" t="s">
        <v>265</v>
      </c>
      <c r="J32" s="32"/>
      <c r="K32" s="45"/>
      <c r="L32" s="32"/>
      <c r="M32" s="45"/>
      <c r="O32" s="46"/>
    </row>
    <row r="33" ht="15.75" customHeight="1">
      <c r="A33" s="37" t="s">
        <v>266</v>
      </c>
      <c r="B33" s="37" t="s">
        <v>267</v>
      </c>
      <c r="C33" s="37" t="s">
        <v>268</v>
      </c>
      <c r="D33" s="37" t="s">
        <v>40</v>
      </c>
      <c r="E33" s="37" t="s">
        <v>269</v>
      </c>
      <c r="F33" s="37" t="s">
        <v>270</v>
      </c>
      <c r="G33" s="37" t="s">
        <v>271</v>
      </c>
      <c r="H33" s="37" t="s">
        <v>40</v>
      </c>
      <c r="I33" s="37" t="s">
        <v>272</v>
      </c>
      <c r="J33" s="32"/>
      <c r="K33" s="45"/>
      <c r="L33" s="32"/>
      <c r="M33" s="45"/>
      <c r="O33" s="46"/>
    </row>
    <row r="34" ht="15.75" customHeight="1">
      <c r="A34" s="37" t="s">
        <v>273</v>
      </c>
      <c r="B34" s="37" t="s">
        <v>274</v>
      </c>
      <c r="C34" s="37" t="s">
        <v>275</v>
      </c>
      <c r="D34" s="37" t="s">
        <v>40</v>
      </c>
      <c r="E34" s="37" t="s">
        <v>276</v>
      </c>
      <c r="F34" s="37" t="s">
        <v>277</v>
      </c>
      <c r="G34" s="37" t="s">
        <v>278</v>
      </c>
      <c r="H34" s="37" t="s">
        <v>279</v>
      </c>
      <c r="I34" s="37" t="s">
        <v>280</v>
      </c>
      <c r="J34" s="32"/>
      <c r="K34" s="32"/>
      <c r="L34" s="32"/>
      <c r="M34" s="45"/>
    </row>
    <row r="35" ht="15.75" customHeight="1">
      <c r="A35" s="37" t="s">
        <v>281</v>
      </c>
      <c r="B35" s="37" t="s">
        <v>282</v>
      </c>
      <c r="C35" s="37" t="s">
        <v>283</v>
      </c>
      <c r="D35" s="37" t="s">
        <v>40</v>
      </c>
      <c r="E35" s="37" t="s">
        <v>284</v>
      </c>
      <c r="F35" s="37" t="s">
        <v>285</v>
      </c>
      <c r="G35" s="37" t="s">
        <v>286</v>
      </c>
      <c r="H35" s="37" t="s">
        <v>264</v>
      </c>
      <c r="I35" s="37" t="s">
        <v>287</v>
      </c>
      <c r="J35" s="32"/>
      <c r="K35" s="32"/>
      <c r="L35" s="32"/>
      <c r="M35" s="32"/>
    </row>
    <row r="36" ht="15.75" customHeight="1">
      <c r="A36" s="37" t="s">
        <v>288</v>
      </c>
      <c r="B36" s="37" t="s">
        <v>289</v>
      </c>
      <c r="C36" s="37" t="s">
        <v>290</v>
      </c>
      <c r="D36" s="37" t="s">
        <v>291</v>
      </c>
      <c r="E36" s="37" t="s">
        <v>292</v>
      </c>
      <c r="F36" s="37" t="s">
        <v>293</v>
      </c>
      <c r="G36" s="37" t="s">
        <v>294</v>
      </c>
      <c r="H36" s="37" t="s">
        <v>295</v>
      </c>
      <c r="I36" s="37" t="s">
        <v>296</v>
      </c>
      <c r="J36" s="32"/>
      <c r="K36" s="45"/>
      <c r="L36" s="32"/>
      <c r="M36" s="45"/>
      <c r="O36" s="46"/>
    </row>
    <row r="37" ht="15.75" customHeight="1">
      <c r="A37" s="32"/>
      <c r="B37" s="32"/>
      <c r="C37" s="53" t="s">
        <v>222</v>
      </c>
      <c r="D37" s="37">
        <v>420000.0</v>
      </c>
      <c r="E37" s="37" t="s">
        <v>222</v>
      </c>
      <c r="F37" s="54" t="s">
        <v>297</v>
      </c>
      <c r="G37" s="37" t="s">
        <v>222</v>
      </c>
      <c r="H37" s="37" t="s">
        <v>298</v>
      </c>
      <c r="I37" s="32"/>
      <c r="J37" s="32"/>
      <c r="K37" s="45"/>
      <c r="L37" s="32"/>
      <c r="M37" s="45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ht="15.75" customHeight="1">
      <c r="A39" s="30" t="s">
        <v>299</v>
      </c>
      <c r="B39" s="18"/>
      <c r="C39" s="19"/>
      <c r="D39" s="32"/>
      <c r="E39" s="32"/>
      <c r="F39" s="32"/>
      <c r="G39" s="32"/>
      <c r="H39" s="32"/>
      <c r="I39" s="32"/>
      <c r="J39" s="32"/>
      <c r="K39" s="32"/>
      <c r="L39" s="32"/>
      <c r="M39" s="32"/>
    </row>
    <row r="40" ht="15.75" customHeight="1">
      <c r="A40" s="42" t="s">
        <v>300</v>
      </c>
      <c r="B40" s="42" t="s">
        <v>68</v>
      </c>
      <c r="C40" s="42" t="s">
        <v>125</v>
      </c>
      <c r="D40" s="42" t="s">
        <v>70</v>
      </c>
      <c r="E40" s="42" t="s">
        <v>71</v>
      </c>
      <c r="F40" s="32"/>
      <c r="G40" s="32"/>
      <c r="H40" s="32"/>
      <c r="I40" s="32"/>
      <c r="J40" s="32"/>
      <c r="K40" s="32"/>
      <c r="L40" s="32"/>
      <c r="M40" s="32"/>
    </row>
    <row r="41" ht="15.75" customHeight="1">
      <c r="A41" s="37" t="s">
        <v>301</v>
      </c>
      <c r="B41" s="37" t="s">
        <v>302</v>
      </c>
      <c r="C41" s="38">
        <v>2700000.0</v>
      </c>
      <c r="D41" s="37" t="s">
        <v>303</v>
      </c>
      <c r="E41" s="37" t="s">
        <v>304</v>
      </c>
      <c r="F41" s="32"/>
      <c r="G41" s="32"/>
      <c r="H41" s="32"/>
      <c r="I41" s="32"/>
      <c r="J41" s="32"/>
      <c r="K41" s="32"/>
      <c r="L41" s="32"/>
      <c r="M41" s="32"/>
    </row>
    <row r="42" ht="15.75" customHeight="1">
      <c r="A42" s="37" t="s">
        <v>305</v>
      </c>
      <c r="B42" s="37" t="s">
        <v>306</v>
      </c>
      <c r="C42" s="38">
        <v>550000.0</v>
      </c>
      <c r="D42" s="37" t="s">
        <v>307</v>
      </c>
      <c r="E42" s="37" t="s">
        <v>308</v>
      </c>
      <c r="F42" s="32"/>
      <c r="G42" s="32"/>
      <c r="H42" s="32"/>
      <c r="I42" s="32"/>
      <c r="J42" s="32"/>
      <c r="K42" s="32"/>
      <c r="L42" s="32"/>
      <c r="M42" s="32"/>
    </row>
    <row r="43" ht="15.75" customHeight="1">
      <c r="A43" s="37" t="s">
        <v>309</v>
      </c>
      <c r="B43" s="37" t="s">
        <v>310</v>
      </c>
      <c r="C43" s="38">
        <v>580000.0</v>
      </c>
      <c r="D43" s="37" t="s">
        <v>311</v>
      </c>
      <c r="E43" s="37" t="s">
        <v>312</v>
      </c>
      <c r="F43" s="32"/>
      <c r="G43" s="32"/>
      <c r="H43" s="32"/>
      <c r="I43" s="32"/>
      <c r="J43" s="32"/>
      <c r="K43" s="32"/>
      <c r="L43" s="32"/>
      <c r="M43" s="32"/>
    </row>
    <row r="44" ht="15.75" customHeight="1">
      <c r="A44" s="37" t="s">
        <v>313</v>
      </c>
      <c r="B44" s="37" t="s">
        <v>314</v>
      </c>
      <c r="C44" s="38">
        <v>800000.0</v>
      </c>
      <c r="D44" s="37" t="s">
        <v>315</v>
      </c>
      <c r="E44" s="37" t="s">
        <v>316</v>
      </c>
      <c r="F44" s="32"/>
      <c r="G44" s="32"/>
      <c r="H44" s="32"/>
      <c r="I44" s="32"/>
      <c r="J44" s="32"/>
      <c r="K44" s="32"/>
      <c r="L44" s="32"/>
      <c r="M44" s="32"/>
    </row>
    <row r="45" ht="15.75" customHeight="1">
      <c r="A45" s="37" t="s">
        <v>317</v>
      </c>
      <c r="B45" s="37" t="s">
        <v>318</v>
      </c>
      <c r="C45" s="38">
        <v>400000.0</v>
      </c>
      <c r="D45" s="37" t="s">
        <v>319</v>
      </c>
      <c r="E45" s="37" t="s">
        <v>320</v>
      </c>
      <c r="F45" s="32"/>
      <c r="G45" s="32"/>
      <c r="H45" s="32"/>
      <c r="I45" s="32"/>
      <c r="J45" s="32"/>
      <c r="K45" s="32"/>
      <c r="L45" s="32"/>
      <c r="M45" s="32"/>
    </row>
    <row r="46" ht="15.75" customHeight="1">
      <c r="A46" s="32"/>
      <c r="B46" s="32" t="s">
        <v>222</v>
      </c>
      <c r="C46" s="15">
        <f>SUM(C41:C45)</f>
        <v>5030000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</row>
    <row r="48" ht="15.75" customHeight="1">
      <c r="A48" s="30" t="s">
        <v>321</v>
      </c>
      <c r="B48" s="18"/>
      <c r="C48" s="19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ht="15.75" customHeight="1">
      <c r="A49" s="42" t="s">
        <v>124</v>
      </c>
      <c r="B49" s="42" t="s">
        <v>68</v>
      </c>
      <c r="C49" s="42" t="s">
        <v>125</v>
      </c>
      <c r="D49" s="42" t="s">
        <v>70</v>
      </c>
      <c r="E49" s="42" t="s">
        <v>71</v>
      </c>
      <c r="F49" s="32"/>
      <c r="G49" s="32"/>
      <c r="H49" s="32"/>
      <c r="I49" s="32"/>
      <c r="J49" s="32"/>
      <c r="K49" s="32"/>
      <c r="L49" s="32"/>
      <c r="M49" s="32"/>
    </row>
    <row r="50" ht="15.75" customHeight="1">
      <c r="A50" s="37" t="s">
        <v>322</v>
      </c>
      <c r="B50" s="37" t="s">
        <v>323</v>
      </c>
      <c r="C50" s="38">
        <v>43000.0</v>
      </c>
      <c r="D50" s="37" t="s">
        <v>324</v>
      </c>
      <c r="E50" s="37" t="s">
        <v>325</v>
      </c>
      <c r="F50" s="32"/>
      <c r="G50" s="32"/>
      <c r="H50" s="32"/>
      <c r="I50" s="32"/>
      <c r="J50" s="32"/>
      <c r="K50" s="32"/>
      <c r="L50" s="32"/>
      <c r="M50" s="32"/>
    </row>
    <row r="51" ht="15.75" customHeight="1">
      <c r="A51" s="37" t="s">
        <v>326</v>
      </c>
      <c r="B51" s="37" t="s">
        <v>327</v>
      </c>
      <c r="C51" s="38">
        <v>45000.0</v>
      </c>
      <c r="D51" s="37" t="s">
        <v>328</v>
      </c>
      <c r="E51" s="37" t="s">
        <v>329</v>
      </c>
      <c r="F51" s="32"/>
      <c r="G51" s="32"/>
      <c r="H51" s="32"/>
      <c r="I51" s="32"/>
      <c r="J51" s="32"/>
      <c r="K51" s="32"/>
      <c r="L51" s="32"/>
      <c r="M51" s="32"/>
    </row>
    <row r="52" ht="15.75" customHeight="1">
      <c r="A52" s="37" t="s">
        <v>330</v>
      </c>
      <c r="B52" s="37" t="s">
        <v>331</v>
      </c>
      <c r="C52" s="38">
        <v>0.0</v>
      </c>
      <c r="D52" s="37" t="s">
        <v>332</v>
      </c>
      <c r="E52" s="37" t="s">
        <v>333</v>
      </c>
      <c r="F52" s="32"/>
      <c r="G52" s="32"/>
      <c r="H52" s="32"/>
      <c r="I52" s="32"/>
      <c r="J52" s="32"/>
      <c r="K52" s="32"/>
      <c r="L52" s="32"/>
      <c r="M52" s="32"/>
    </row>
    <row r="53" ht="15.75" customHeight="1">
      <c r="A53" s="37" t="s">
        <v>259</v>
      </c>
      <c r="B53" s="37" t="s">
        <v>334</v>
      </c>
      <c r="C53" s="38">
        <v>20000.0</v>
      </c>
      <c r="D53" s="37" t="s">
        <v>335</v>
      </c>
      <c r="E53" s="37" t="s">
        <v>336</v>
      </c>
      <c r="F53" s="32"/>
      <c r="G53" s="32"/>
      <c r="H53" s="32"/>
      <c r="I53" s="32"/>
      <c r="J53" s="32"/>
      <c r="K53" s="32"/>
      <c r="L53" s="32"/>
      <c r="M53" s="32"/>
    </row>
    <row r="54" ht="15.75" customHeight="1">
      <c r="A54" s="37" t="s">
        <v>337</v>
      </c>
      <c r="B54" s="37" t="s">
        <v>338</v>
      </c>
      <c r="C54" s="38">
        <v>120000.0</v>
      </c>
      <c r="D54" s="37" t="s">
        <v>339</v>
      </c>
      <c r="E54" s="37" t="s">
        <v>340</v>
      </c>
      <c r="F54" s="32"/>
      <c r="G54" s="32"/>
      <c r="H54" s="32"/>
      <c r="I54" s="32"/>
      <c r="J54" s="32"/>
      <c r="K54" s="32"/>
      <c r="L54" s="32"/>
      <c r="M54" s="32"/>
    </row>
    <row r="55" ht="15.75" customHeight="1">
      <c r="A55" s="37" t="s">
        <v>341</v>
      </c>
      <c r="B55" s="37" t="s">
        <v>342</v>
      </c>
      <c r="C55" s="38">
        <v>48000.0</v>
      </c>
      <c r="D55" s="37" t="s">
        <v>343</v>
      </c>
      <c r="E55" s="37" t="s">
        <v>344</v>
      </c>
      <c r="F55" s="32"/>
      <c r="G55" s="32"/>
      <c r="H55" s="32"/>
      <c r="I55" s="32"/>
      <c r="J55" s="32"/>
      <c r="K55" s="32"/>
      <c r="L55" s="32"/>
      <c r="M55" s="32"/>
    </row>
    <row r="56" ht="15.75" customHeight="1">
      <c r="A56" s="37" t="s">
        <v>345</v>
      </c>
      <c r="B56" s="37" t="s">
        <v>346</v>
      </c>
      <c r="C56" s="38">
        <v>30000.0</v>
      </c>
      <c r="D56" s="37" t="s">
        <v>347</v>
      </c>
      <c r="E56" s="37" t="s">
        <v>348</v>
      </c>
      <c r="F56" s="32"/>
      <c r="G56" s="32"/>
      <c r="H56" s="32"/>
      <c r="I56" s="32"/>
      <c r="J56" s="32"/>
      <c r="K56" s="32"/>
      <c r="L56" s="32"/>
      <c r="M56" s="32"/>
    </row>
    <row r="57" ht="15.75" customHeight="1">
      <c r="A57" s="37" t="s">
        <v>349</v>
      </c>
      <c r="B57" s="37" t="s">
        <v>350</v>
      </c>
      <c r="C57" s="38">
        <v>65000.0</v>
      </c>
      <c r="D57" s="37" t="s">
        <v>351</v>
      </c>
      <c r="E57" s="37" t="s">
        <v>352</v>
      </c>
      <c r="F57" s="32"/>
      <c r="G57" s="32"/>
      <c r="H57" s="32"/>
      <c r="I57" s="32"/>
      <c r="J57" s="32"/>
      <c r="K57" s="32"/>
      <c r="L57" s="32"/>
      <c r="M57" s="32"/>
    </row>
    <row r="58" ht="15.75" customHeight="1">
      <c r="A58" s="32"/>
      <c r="B58" s="37" t="s">
        <v>222</v>
      </c>
      <c r="C58" s="38">
        <f>SUM(C50:C57)</f>
        <v>371000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ht="15.75" customHeight="1">
      <c r="A59" s="32"/>
      <c r="B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ht="15.75" customHeight="1"/>
    <row r="62" ht="15.75" customHeight="1"/>
    <row r="63" ht="15.75" customHeight="1"/>
    <row r="64" ht="28.5" customHeight="1">
      <c r="A64" s="55" t="s">
        <v>353</v>
      </c>
    </row>
    <row r="65" ht="15.75" customHeight="1">
      <c r="A65" s="56" t="s">
        <v>354</v>
      </c>
      <c r="B65" s="56" t="s">
        <v>355</v>
      </c>
      <c r="C65" s="57" t="s">
        <v>356</v>
      </c>
      <c r="D65" s="58" t="s">
        <v>357</v>
      </c>
      <c r="E65" s="59" t="s">
        <v>358</v>
      </c>
    </row>
    <row r="66" ht="15.75" customHeight="1">
      <c r="A66" s="60" t="s">
        <v>359</v>
      </c>
      <c r="B66" s="60" t="s">
        <v>154</v>
      </c>
      <c r="C66" s="61">
        <v>3.0</v>
      </c>
      <c r="D66" s="62">
        <v>3500000.0</v>
      </c>
      <c r="E66" s="63">
        <f t="shared" ref="E66:E72" si="1">D66*C66</f>
        <v>10500000</v>
      </c>
    </row>
    <row r="67" ht="15.75" customHeight="1">
      <c r="A67" s="60" t="s">
        <v>171</v>
      </c>
      <c r="B67" s="60" t="s">
        <v>174</v>
      </c>
      <c r="C67" s="61">
        <v>3.0</v>
      </c>
      <c r="D67" s="62">
        <v>300000.0</v>
      </c>
      <c r="E67" s="63">
        <f t="shared" si="1"/>
        <v>900000</v>
      </c>
    </row>
    <row r="68" ht="15.75" customHeight="1">
      <c r="A68" s="60" t="s">
        <v>166</v>
      </c>
      <c r="B68" s="60" t="s">
        <v>169</v>
      </c>
      <c r="C68" s="61">
        <v>3.0</v>
      </c>
      <c r="D68" s="62">
        <v>400000.0</v>
      </c>
      <c r="E68" s="63">
        <f t="shared" si="1"/>
        <v>1200000</v>
      </c>
    </row>
    <row r="69" ht="15.75" customHeight="1">
      <c r="A69" s="64" t="s">
        <v>360</v>
      </c>
      <c r="B69" s="60" t="s">
        <v>361</v>
      </c>
      <c r="C69" s="61">
        <v>3.0</v>
      </c>
      <c r="D69" s="62">
        <v>240000.0</v>
      </c>
      <c r="E69" s="63">
        <f t="shared" si="1"/>
        <v>720000</v>
      </c>
    </row>
    <row r="70" ht="15.75" customHeight="1">
      <c r="A70" s="64" t="s">
        <v>362</v>
      </c>
      <c r="B70" s="60" t="s">
        <v>363</v>
      </c>
      <c r="C70" s="61">
        <v>3.0</v>
      </c>
      <c r="D70" s="62">
        <v>450000.0</v>
      </c>
      <c r="E70" s="63">
        <f t="shared" si="1"/>
        <v>1350000</v>
      </c>
    </row>
    <row r="71" ht="15.75" customHeight="1">
      <c r="A71" s="64" t="s">
        <v>364</v>
      </c>
      <c r="B71" s="60" t="s">
        <v>365</v>
      </c>
      <c r="C71" s="61">
        <v>1.0</v>
      </c>
      <c r="D71" s="62">
        <v>370000.0</v>
      </c>
      <c r="E71" s="63">
        <f t="shared" si="1"/>
        <v>370000</v>
      </c>
    </row>
    <row r="72" ht="15.75" customHeight="1">
      <c r="A72" s="65" t="s">
        <v>211</v>
      </c>
      <c r="B72" s="60" t="s">
        <v>214</v>
      </c>
      <c r="C72" s="61">
        <v>3.0</v>
      </c>
      <c r="D72" s="62">
        <v>400000.0</v>
      </c>
      <c r="E72" s="63">
        <f t="shared" si="1"/>
        <v>1200000</v>
      </c>
    </row>
    <row r="73" ht="15.75" customHeight="1">
      <c r="A73" s="66"/>
      <c r="B73" s="66"/>
      <c r="C73" s="66"/>
      <c r="D73" s="59" t="s">
        <v>366</v>
      </c>
      <c r="E73" s="67">
        <f>SUM(E66:E72)</f>
        <v>16240000</v>
      </c>
    </row>
    <row r="74" ht="15.75" customHeight="1"/>
    <row r="75" ht="15.75" customHeight="1"/>
    <row r="76" ht="28.5" customHeight="1">
      <c r="A76" s="55" t="s">
        <v>367</v>
      </c>
    </row>
    <row r="77" ht="15.75" customHeight="1">
      <c r="A77" s="59" t="s">
        <v>354</v>
      </c>
      <c r="B77" s="59" t="s">
        <v>368</v>
      </c>
      <c r="C77" s="59" t="s">
        <v>3</v>
      </c>
    </row>
    <row r="78" ht="15.75" customHeight="1">
      <c r="A78" s="37" t="s">
        <v>16</v>
      </c>
      <c r="B78" s="37" t="s">
        <v>249</v>
      </c>
      <c r="C78" s="37" t="s">
        <v>250</v>
      </c>
    </row>
    <row r="79" ht="15.75" customHeight="1">
      <c r="A79" s="37" t="s">
        <v>252</v>
      </c>
      <c r="B79" s="37" t="s">
        <v>256</v>
      </c>
      <c r="C79" s="68">
        <v>500000.0</v>
      </c>
    </row>
    <row r="80" ht="15.75" customHeight="1">
      <c r="A80" s="37" t="s">
        <v>259</v>
      </c>
      <c r="B80" s="37" t="s">
        <v>263</v>
      </c>
      <c r="C80" s="68">
        <v>300000.0</v>
      </c>
    </row>
    <row r="81" ht="15.75" customHeight="1">
      <c r="A81" s="37" t="s">
        <v>266</v>
      </c>
      <c r="B81" s="37" t="s">
        <v>271</v>
      </c>
      <c r="C81" s="37" t="s">
        <v>40</v>
      </c>
    </row>
    <row r="82" ht="15.75" customHeight="1">
      <c r="A82" s="37" t="s">
        <v>273</v>
      </c>
      <c r="B82" s="37" t="s">
        <v>278</v>
      </c>
      <c r="C82" s="69" t="s">
        <v>369</v>
      </c>
    </row>
    <row r="83" ht="15.75" customHeight="1">
      <c r="A83" s="37" t="s">
        <v>281</v>
      </c>
      <c r="B83" s="37" t="s">
        <v>286</v>
      </c>
      <c r="C83" s="68">
        <v>300000.0</v>
      </c>
    </row>
    <row r="84" ht="15.75" customHeight="1">
      <c r="A84" s="37" t="s">
        <v>288</v>
      </c>
      <c r="B84" s="37" t="s">
        <v>294</v>
      </c>
      <c r="C84" s="69" t="s">
        <v>370</v>
      </c>
    </row>
    <row r="85" ht="15.75" customHeight="1">
      <c r="A85" s="66"/>
      <c r="B85" s="59" t="s">
        <v>366</v>
      </c>
      <c r="C85" s="59" t="s">
        <v>371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C1"/>
    <mergeCell ref="A28:C28"/>
    <mergeCell ref="A39:C39"/>
    <mergeCell ref="A48:C48"/>
    <mergeCell ref="A64:E64"/>
    <mergeCell ref="A76:E76"/>
  </mergeCells>
  <hyperlinks>
    <hyperlink r:id="rId1" ref="I4"/>
    <hyperlink r:id="rId2" ref="I5"/>
    <hyperlink r:id="rId3" ref="I6"/>
    <hyperlink r:id="rId4" ref="I7"/>
    <hyperlink r:id="rId5" ref="I8"/>
    <hyperlink r:id="rId6" ref="I9"/>
    <hyperlink r:id="rId7" ref="I10"/>
    <hyperlink r:id="rId8" ref="I12"/>
    <hyperlink r:id="rId9" ref="I13"/>
    <hyperlink r:id="rId10" ref="I14"/>
    <hyperlink r:id="rId11" ref="I15"/>
    <hyperlink r:id="rId12" ref="I16"/>
    <hyperlink r:id="rId13" ref="C21"/>
    <hyperlink r:id="rId14" ref="C22"/>
    <hyperlink r:id="rId15" ref="C23"/>
    <hyperlink r:id="rId16" ref="C24"/>
    <hyperlink r:id="rId17" ref="C25"/>
  </hyperlinks>
  <printOptions/>
  <pageMargins bottom="0.75" footer="0.0" header="0.0" left="0.7" right="0.7" top="0.75"/>
  <pageSetup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7.25"/>
    <col customWidth="1" min="3" max="3" width="26.88"/>
    <col customWidth="1" min="4" max="4" width="35.13"/>
    <col customWidth="1" min="5" max="5" width="17.38"/>
    <col customWidth="1" min="6" max="6" width="13.63"/>
    <col customWidth="1" min="7" max="7" width="14.38"/>
    <col customWidth="1" min="8" max="8" width="15.38"/>
    <col customWidth="1" min="9" max="9" width="13.75"/>
    <col customWidth="1" min="10" max="10" width="27.25"/>
    <col customWidth="1" min="11" max="11" width="24.13"/>
  </cols>
  <sheetData>
    <row r="1" ht="15.75" customHeight="1">
      <c r="B1" s="70" t="s">
        <v>372</v>
      </c>
      <c r="C1" s="18"/>
      <c r="D1" s="18"/>
      <c r="E1" s="18"/>
      <c r="F1" s="18"/>
      <c r="G1" s="18"/>
      <c r="H1" s="18"/>
      <c r="I1" s="18"/>
      <c r="J1" s="18"/>
      <c r="K1" s="19"/>
    </row>
    <row r="2" ht="15.75" customHeight="1">
      <c r="B2" s="71" t="s">
        <v>354</v>
      </c>
      <c r="C2" s="72" t="s">
        <v>373</v>
      </c>
      <c r="D2" s="72" t="s">
        <v>374</v>
      </c>
      <c r="E2" s="73" t="s">
        <v>375</v>
      </c>
      <c r="F2" s="72" t="s">
        <v>376</v>
      </c>
      <c r="G2" s="72" t="s">
        <v>377</v>
      </c>
      <c r="H2" s="72" t="s">
        <v>378</v>
      </c>
      <c r="I2" s="72" t="s">
        <v>379</v>
      </c>
      <c r="J2" s="72" t="s">
        <v>380</v>
      </c>
      <c r="K2" s="72" t="s">
        <v>381</v>
      </c>
    </row>
    <row r="3" ht="15.75" customHeight="1">
      <c r="B3" s="71" t="s">
        <v>382</v>
      </c>
      <c r="C3" s="74" t="s">
        <v>383</v>
      </c>
      <c r="D3" s="74" t="s">
        <v>384</v>
      </c>
      <c r="E3" s="75" t="s">
        <v>385</v>
      </c>
      <c r="F3" s="75">
        <v>160.0</v>
      </c>
      <c r="G3" s="76">
        <v>1.28E7</v>
      </c>
      <c r="H3" s="74">
        <v>8.0</v>
      </c>
      <c r="I3" s="74" t="s">
        <v>386</v>
      </c>
      <c r="J3" s="74" t="s">
        <v>387</v>
      </c>
      <c r="K3" s="74" t="s">
        <v>388</v>
      </c>
    </row>
    <row r="4" ht="15.75" customHeight="1">
      <c r="B4" s="71" t="s">
        <v>389</v>
      </c>
      <c r="C4" s="77" t="s">
        <v>390</v>
      </c>
      <c r="D4" s="77" t="s">
        <v>391</v>
      </c>
      <c r="E4" s="78">
        <v>80.0</v>
      </c>
      <c r="F4" s="75">
        <v>120.0</v>
      </c>
      <c r="G4" s="76">
        <v>9200000.0</v>
      </c>
      <c r="H4" s="77">
        <v>6.0</v>
      </c>
      <c r="I4" s="77" t="s">
        <v>386</v>
      </c>
      <c r="J4" s="77" t="s">
        <v>392</v>
      </c>
      <c r="K4" s="77" t="s">
        <v>393</v>
      </c>
    </row>
    <row r="5" ht="15.75" customHeight="1">
      <c r="B5" s="71" t="s">
        <v>394</v>
      </c>
      <c r="C5" s="74" t="s">
        <v>395</v>
      </c>
      <c r="D5" s="74" t="s">
        <v>396</v>
      </c>
      <c r="E5" s="75" t="s">
        <v>397</v>
      </c>
      <c r="F5" s="75">
        <v>300.0</v>
      </c>
      <c r="G5" s="76">
        <v>1.8E7</v>
      </c>
      <c r="H5" s="74">
        <v>14.0</v>
      </c>
      <c r="I5" s="74" t="s">
        <v>386</v>
      </c>
      <c r="J5" s="74" t="s">
        <v>398</v>
      </c>
      <c r="K5" s="74" t="s">
        <v>399</v>
      </c>
    </row>
    <row r="6" ht="15.75" customHeight="1">
      <c r="B6" s="71" t="s">
        <v>382</v>
      </c>
      <c r="C6" s="74" t="s">
        <v>400</v>
      </c>
      <c r="D6" s="74" t="s">
        <v>401</v>
      </c>
      <c r="E6" s="75" t="s">
        <v>402</v>
      </c>
      <c r="F6" s="75">
        <v>100.0</v>
      </c>
      <c r="G6" s="76">
        <v>7500000.0</v>
      </c>
      <c r="H6" s="74">
        <v>6.0</v>
      </c>
      <c r="I6" s="74" t="s">
        <v>403</v>
      </c>
      <c r="J6" s="74" t="s">
        <v>404</v>
      </c>
      <c r="K6" s="74" t="s">
        <v>405</v>
      </c>
    </row>
    <row r="7" ht="15.75" customHeight="1">
      <c r="C7" s="79"/>
      <c r="D7" s="79"/>
      <c r="E7" s="80"/>
      <c r="F7" s="81" t="s">
        <v>406</v>
      </c>
      <c r="G7" s="82">
        <f>SUM(G3:G6)</f>
        <v>47500000</v>
      </c>
      <c r="H7" s="79"/>
      <c r="I7" s="79"/>
      <c r="J7" s="79"/>
      <c r="K7" s="79"/>
    </row>
    <row r="8" ht="15.75" customHeight="1">
      <c r="C8" s="79"/>
      <c r="D8" s="79"/>
      <c r="E8" s="80"/>
      <c r="F8" s="80"/>
      <c r="G8" s="80"/>
      <c r="H8" s="79"/>
      <c r="I8" s="79"/>
      <c r="J8" s="79"/>
      <c r="K8" s="79"/>
    </row>
    <row r="9" ht="15.75" customHeight="1">
      <c r="C9" s="79"/>
      <c r="D9" s="79"/>
      <c r="E9" s="80"/>
      <c r="F9" s="80"/>
      <c r="G9" s="80"/>
      <c r="H9" s="79"/>
      <c r="I9" s="79"/>
      <c r="J9" s="79"/>
      <c r="K9" s="79"/>
    </row>
    <row r="10" ht="15.75" customHeight="1"/>
    <row r="11" ht="15.75" customHeight="1">
      <c r="C11" s="83" t="s">
        <v>407</v>
      </c>
      <c r="D11" s="18"/>
      <c r="E11" s="18"/>
      <c r="F11" s="18"/>
      <c r="G11" s="18"/>
      <c r="H11" s="18"/>
      <c r="I11" s="18"/>
      <c r="J11" s="18"/>
      <c r="K11" s="18"/>
      <c r="L11" s="18"/>
      <c r="M11" s="19"/>
    </row>
    <row r="12" ht="15.75" customHeight="1">
      <c r="C12" s="72" t="s">
        <v>408</v>
      </c>
      <c r="D12" s="84" t="s">
        <v>409</v>
      </c>
      <c r="E12" s="18"/>
      <c r="F12" s="18"/>
      <c r="G12" s="18"/>
      <c r="H12" s="18"/>
      <c r="I12" s="18"/>
      <c r="J12" s="18"/>
      <c r="K12" s="18"/>
      <c r="L12" s="19"/>
      <c r="M12" s="85"/>
    </row>
    <row r="13" ht="15.75" customHeight="1">
      <c r="C13" s="77" t="s">
        <v>410</v>
      </c>
      <c r="D13" s="77" t="s">
        <v>411</v>
      </c>
      <c r="E13" s="86"/>
      <c r="F13" s="87"/>
      <c r="G13" s="87"/>
      <c r="H13" s="87"/>
      <c r="I13" s="87"/>
      <c r="J13" s="87"/>
      <c r="K13" s="87"/>
      <c r="L13" s="87"/>
    </row>
    <row r="14" ht="15.75" customHeight="1">
      <c r="C14" s="74" t="s">
        <v>390</v>
      </c>
      <c r="D14" s="88" t="s">
        <v>412</v>
      </c>
      <c r="E14" s="18"/>
      <c r="F14" s="18"/>
      <c r="G14" s="18"/>
      <c r="H14" s="18"/>
      <c r="I14" s="18"/>
      <c r="J14" s="18"/>
      <c r="K14" s="18"/>
      <c r="L14" s="19"/>
    </row>
    <row r="15" ht="15.75" customHeight="1">
      <c r="C15" s="74" t="s">
        <v>395</v>
      </c>
      <c r="D15" s="88" t="s">
        <v>413</v>
      </c>
      <c r="E15" s="18"/>
      <c r="F15" s="18"/>
      <c r="G15" s="18"/>
      <c r="H15" s="18"/>
      <c r="I15" s="18"/>
      <c r="J15" s="18"/>
      <c r="K15" s="18"/>
      <c r="L15" s="19"/>
    </row>
    <row r="16" ht="15.75" customHeight="1">
      <c r="C16" s="74" t="s">
        <v>414</v>
      </c>
      <c r="D16" s="88" t="s">
        <v>415</v>
      </c>
      <c r="E16" s="18"/>
      <c r="F16" s="18"/>
      <c r="G16" s="18"/>
      <c r="H16" s="18"/>
      <c r="I16" s="18"/>
      <c r="J16" s="18"/>
      <c r="K16" s="18"/>
      <c r="L16" s="19"/>
    </row>
    <row r="17" ht="15.75" customHeight="1">
      <c r="C17" s="74" t="s">
        <v>416</v>
      </c>
      <c r="D17" s="88" t="s">
        <v>417</v>
      </c>
      <c r="E17" s="18"/>
      <c r="F17" s="18"/>
      <c r="G17" s="18"/>
      <c r="H17" s="18"/>
      <c r="I17" s="18"/>
      <c r="J17" s="18"/>
      <c r="K17" s="18"/>
      <c r="L17" s="19"/>
    </row>
    <row r="18" ht="15.75" customHeight="1">
      <c r="C18" s="74" t="s">
        <v>418</v>
      </c>
      <c r="D18" s="88" t="s">
        <v>419</v>
      </c>
      <c r="E18" s="18"/>
      <c r="F18" s="18"/>
      <c r="G18" s="18"/>
      <c r="H18" s="18"/>
      <c r="I18" s="18"/>
      <c r="J18" s="18"/>
      <c r="K18" s="18"/>
      <c r="L18" s="19"/>
    </row>
    <row r="19" ht="15.75" customHeight="1"/>
    <row r="20" ht="15.75" customHeight="1"/>
    <row r="21" ht="15.75" customHeight="1">
      <c r="C21" s="89" t="s">
        <v>420</v>
      </c>
      <c r="D21" s="18"/>
      <c r="E21" s="18"/>
      <c r="F21" s="18"/>
      <c r="G21" s="18"/>
      <c r="H21" s="19"/>
    </row>
    <row r="22" ht="15.75" customHeight="1">
      <c r="C22" s="90" t="s">
        <v>421</v>
      </c>
      <c r="D22" s="84" t="s">
        <v>422</v>
      </c>
      <c r="E22" s="18"/>
      <c r="F22" s="18"/>
      <c r="G22" s="18"/>
      <c r="H22" s="19"/>
    </row>
    <row r="23" ht="15.75" customHeight="1">
      <c r="C23" s="91" t="s">
        <v>423</v>
      </c>
      <c r="D23" s="88" t="s">
        <v>424</v>
      </c>
      <c r="E23" s="18"/>
      <c r="F23" s="18"/>
      <c r="G23" s="18"/>
      <c r="H23" s="19"/>
    </row>
    <row r="24" ht="15.75" customHeight="1">
      <c r="C24" s="92" t="s">
        <v>425</v>
      </c>
      <c r="D24" s="93" t="s">
        <v>426</v>
      </c>
      <c r="E24" s="18"/>
      <c r="F24" s="18"/>
      <c r="G24" s="18"/>
      <c r="H24" s="19"/>
    </row>
    <row r="25" ht="15.75" customHeight="1">
      <c r="C25" s="92" t="s">
        <v>427</v>
      </c>
      <c r="D25" s="88" t="s">
        <v>428</v>
      </c>
      <c r="E25" s="18"/>
      <c r="F25" s="18"/>
      <c r="G25" s="18"/>
      <c r="H25" s="19"/>
      <c r="J25" s="94"/>
    </row>
    <row r="26" ht="15.75" customHeight="1">
      <c r="C26" s="92" t="s">
        <v>429</v>
      </c>
      <c r="D26" s="88" t="s">
        <v>430</v>
      </c>
      <c r="E26" s="18"/>
      <c r="F26" s="18"/>
      <c r="G26" s="18"/>
      <c r="H26" s="19"/>
    </row>
    <row r="27" ht="15.75" customHeight="1">
      <c r="C27" s="95"/>
      <c r="D27" s="96"/>
      <c r="E27" s="2"/>
      <c r="F27" s="2"/>
      <c r="G27" s="2"/>
      <c r="H27" s="2"/>
    </row>
    <row r="28" ht="15.75" customHeight="1">
      <c r="D28" s="79"/>
    </row>
    <row r="29" ht="15.75" customHeight="1"/>
    <row r="30" ht="15.75" customHeight="1"/>
    <row r="31" ht="15.75" customHeight="1"/>
    <row r="32" ht="15.75" customHeight="1">
      <c r="D32" s="94"/>
      <c r="F32" s="9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D18:L18"/>
    <mergeCell ref="C21:H21"/>
    <mergeCell ref="D22:H22"/>
    <mergeCell ref="D23:H23"/>
    <mergeCell ref="D24:H24"/>
    <mergeCell ref="D25:H25"/>
    <mergeCell ref="D26:H26"/>
    <mergeCell ref="D27:H27"/>
    <mergeCell ref="B1:K1"/>
    <mergeCell ref="C11:M11"/>
    <mergeCell ref="D12:L12"/>
    <mergeCell ref="D14:L14"/>
    <mergeCell ref="D15:L15"/>
    <mergeCell ref="D16:L16"/>
    <mergeCell ref="D17:L1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27.88"/>
    <col customWidth="1" min="3" max="3" width="75.0"/>
    <col customWidth="1" min="4" max="13" width="3.0"/>
    <col customWidth="1" min="14" max="14" width="3.13"/>
    <col customWidth="1" min="15" max="24" width="3.0"/>
    <col customWidth="1" min="25" max="25" width="2.5"/>
    <col customWidth="1" min="26" max="26" width="2.63"/>
    <col customWidth="1" min="27" max="31" width="2.38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</row>
    <row r="2">
      <c r="A2" s="98"/>
      <c r="B2" s="98"/>
      <c r="C2" s="98"/>
      <c r="D2" s="99" t="s">
        <v>431</v>
      </c>
      <c r="E2" s="18"/>
      <c r="F2" s="18"/>
      <c r="G2" s="19"/>
      <c r="H2" s="99" t="s">
        <v>432</v>
      </c>
      <c r="I2" s="18"/>
      <c r="J2" s="18"/>
      <c r="K2" s="19"/>
      <c r="L2" s="99" t="s">
        <v>433</v>
      </c>
      <c r="M2" s="18"/>
      <c r="N2" s="18"/>
      <c r="O2" s="19"/>
      <c r="P2" s="99" t="s">
        <v>434</v>
      </c>
      <c r="Q2" s="18"/>
      <c r="R2" s="18"/>
      <c r="S2" s="19"/>
      <c r="T2" s="99" t="s">
        <v>435</v>
      </c>
      <c r="U2" s="18"/>
      <c r="V2" s="18"/>
      <c r="W2" s="19"/>
      <c r="X2" s="99" t="s">
        <v>436</v>
      </c>
      <c r="Y2" s="18"/>
      <c r="Z2" s="18"/>
      <c r="AA2" s="19"/>
      <c r="AB2" s="100" t="s">
        <v>437</v>
      </c>
      <c r="AC2" s="18"/>
      <c r="AD2" s="18"/>
      <c r="AE2" s="19"/>
    </row>
    <row r="3">
      <c r="A3" s="98"/>
      <c r="B3" s="98"/>
      <c r="C3" s="98"/>
      <c r="D3" s="101">
        <v>1.0</v>
      </c>
      <c r="E3" s="101">
        <v>2.0</v>
      </c>
      <c r="F3" s="101">
        <v>3.0</v>
      </c>
      <c r="G3" s="101">
        <v>4.0</v>
      </c>
      <c r="H3" s="102">
        <v>1.0</v>
      </c>
      <c r="I3" s="102">
        <v>2.0</v>
      </c>
      <c r="J3" s="102">
        <v>3.0</v>
      </c>
      <c r="K3" s="102">
        <v>4.0</v>
      </c>
      <c r="L3" s="102">
        <v>1.0</v>
      </c>
      <c r="M3" s="102">
        <v>2.0</v>
      </c>
      <c r="N3" s="102">
        <v>3.0</v>
      </c>
      <c r="O3" s="102">
        <v>4.0</v>
      </c>
      <c r="P3" s="102">
        <v>1.0</v>
      </c>
      <c r="Q3" s="102">
        <v>2.0</v>
      </c>
      <c r="R3" s="102">
        <v>3.0</v>
      </c>
      <c r="S3" s="102">
        <v>4.0</v>
      </c>
      <c r="T3" s="102">
        <v>1.0</v>
      </c>
      <c r="U3" s="102">
        <v>2.0</v>
      </c>
      <c r="V3" s="102">
        <v>3.0</v>
      </c>
      <c r="W3" s="102">
        <v>4.0</v>
      </c>
      <c r="X3" s="102">
        <v>1.0</v>
      </c>
      <c r="Y3" s="102">
        <v>2.0</v>
      </c>
      <c r="Z3" s="102">
        <v>3.0</v>
      </c>
      <c r="AA3" s="102">
        <v>4.0</v>
      </c>
      <c r="AB3" s="103">
        <v>1.0</v>
      </c>
      <c r="AC3" s="103">
        <v>2.0</v>
      </c>
      <c r="AD3" s="103">
        <v>3.0</v>
      </c>
      <c r="AE3" s="103">
        <v>4.0</v>
      </c>
    </row>
    <row r="4">
      <c r="A4" s="98"/>
      <c r="B4" s="104" t="s">
        <v>438</v>
      </c>
      <c r="C4" s="105" t="s">
        <v>439</v>
      </c>
      <c r="D4" s="106"/>
      <c r="E4" s="65"/>
      <c r="F4" s="65"/>
      <c r="G4" s="65"/>
      <c r="H4" s="65"/>
      <c r="I4" s="65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65"/>
      <c r="AC4" s="65"/>
      <c r="AD4" s="65"/>
      <c r="AE4" s="65"/>
    </row>
    <row r="5">
      <c r="A5" s="98"/>
      <c r="B5" s="108"/>
      <c r="C5" s="105" t="s">
        <v>440</v>
      </c>
      <c r="D5" s="109"/>
      <c r="E5" s="109"/>
      <c r="F5" s="65"/>
      <c r="G5" s="65"/>
      <c r="H5" s="65"/>
      <c r="I5" s="65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65"/>
      <c r="AC5" s="65"/>
      <c r="AD5" s="65"/>
      <c r="AE5" s="65"/>
    </row>
    <row r="6">
      <c r="A6" s="98"/>
      <c r="B6" s="108"/>
      <c r="C6" s="105" t="s">
        <v>441</v>
      </c>
      <c r="D6" s="109"/>
      <c r="E6" s="109"/>
      <c r="F6" s="65"/>
      <c r="G6" s="65"/>
      <c r="H6" s="65"/>
      <c r="I6" s="65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65"/>
      <c r="AC6" s="65"/>
      <c r="AD6" s="65"/>
      <c r="AE6" s="65"/>
    </row>
    <row r="7">
      <c r="A7" s="98"/>
      <c r="B7" s="108"/>
      <c r="C7" s="105" t="s">
        <v>442</v>
      </c>
      <c r="D7" s="65"/>
      <c r="E7" s="109"/>
      <c r="F7" s="109"/>
      <c r="G7" s="65"/>
      <c r="H7" s="65"/>
      <c r="I7" s="65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65"/>
      <c r="AC7" s="65"/>
      <c r="AD7" s="65"/>
      <c r="AE7" s="65"/>
    </row>
    <row r="8">
      <c r="A8" s="98"/>
      <c r="B8" s="108"/>
      <c r="C8" s="105" t="s">
        <v>443</v>
      </c>
      <c r="D8" s="65"/>
      <c r="E8" s="109"/>
      <c r="F8" s="109"/>
      <c r="G8" s="65"/>
      <c r="H8" s="65"/>
      <c r="I8" s="65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65"/>
      <c r="AC8" s="65"/>
      <c r="AD8" s="65"/>
      <c r="AE8" s="65"/>
    </row>
    <row r="9">
      <c r="A9" s="98"/>
      <c r="B9" s="108"/>
      <c r="C9" s="105" t="s">
        <v>444</v>
      </c>
      <c r="D9" s="65"/>
      <c r="E9" s="65"/>
      <c r="F9" s="109"/>
      <c r="G9" s="109"/>
      <c r="H9" s="65"/>
      <c r="I9" s="65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65"/>
      <c r="AC9" s="65"/>
      <c r="AD9" s="65"/>
      <c r="AE9" s="65"/>
    </row>
    <row r="10">
      <c r="A10" s="98"/>
      <c r="B10" s="108"/>
      <c r="C10" s="105" t="s">
        <v>445</v>
      </c>
      <c r="D10" s="65"/>
      <c r="E10" s="65"/>
      <c r="F10" s="109"/>
      <c r="G10" s="109"/>
      <c r="H10" s="65"/>
      <c r="I10" s="65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65"/>
      <c r="AC10" s="65"/>
      <c r="AD10" s="65"/>
      <c r="AE10" s="65"/>
    </row>
    <row r="11">
      <c r="A11" s="98"/>
      <c r="B11" s="108"/>
      <c r="C11" s="110" t="s">
        <v>446</v>
      </c>
      <c r="D11" s="65"/>
      <c r="E11" s="109"/>
      <c r="F11" s="65"/>
      <c r="G11" s="65"/>
      <c r="H11" s="65"/>
      <c r="I11" s="65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65"/>
      <c r="AC11" s="65"/>
      <c r="AD11" s="65"/>
      <c r="AE11" s="65"/>
    </row>
    <row r="12">
      <c r="A12" s="98"/>
      <c r="B12" s="12"/>
      <c r="C12" s="105" t="s">
        <v>447</v>
      </c>
      <c r="D12" s="65"/>
      <c r="E12" s="65"/>
      <c r="F12" s="109"/>
      <c r="G12" s="109"/>
      <c r="H12" s="65"/>
      <c r="I12" s="65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65"/>
      <c r="AC12" s="65"/>
      <c r="AD12" s="65"/>
      <c r="AE12" s="65"/>
    </row>
    <row r="13">
      <c r="A13" s="98"/>
      <c r="B13" s="111" t="s">
        <v>448</v>
      </c>
      <c r="C13" s="112" t="s">
        <v>449</v>
      </c>
      <c r="D13" s="65"/>
      <c r="E13" s="65"/>
      <c r="F13" s="113"/>
      <c r="G13" s="113"/>
      <c r="H13" s="65"/>
      <c r="I13" s="65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65"/>
      <c r="AC13" s="65"/>
      <c r="AD13" s="65"/>
      <c r="AE13" s="65"/>
    </row>
    <row r="14">
      <c r="A14" s="98"/>
      <c r="B14" s="108"/>
      <c r="C14" s="114" t="s">
        <v>450</v>
      </c>
      <c r="D14" s="65"/>
      <c r="E14" s="65"/>
      <c r="F14" s="113"/>
      <c r="G14" s="113"/>
      <c r="H14" s="113"/>
      <c r="I14" s="65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65"/>
      <c r="AC14" s="65"/>
      <c r="AD14" s="65"/>
      <c r="AE14" s="65"/>
    </row>
    <row r="15">
      <c r="A15" s="98"/>
      <c r="B15" s="108"/>
      <c r="C15" s="112" t="s">
        <v>451</v>
      </c>
      <c r="D15" s="65"/>
      <c r="E15" s="65"/>
      <c r="F15" s="65"/>
      <c r="G15" s="113"/>
      <c r="H15" s="113"/>
      <c r="I15" s="65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65"/>
      <c r="AC15" s="65"/>
      <c r="AD15" s="65"/>
      <c r="AE15" s="65"/>
    </row>
    <row r="16">
      <c r="A16" s="98"/>
      <c r="B16" s="108"/>
      <c r="C16" s="112" t="s">
        <v>452</v>
      </c>
      <c r="D16" s="65"/>
      <c r="E16" s="65"/>
      <c r="F16" s="65"/>
      <c r="G16" s="113"/>
      <c r="H16" s="113"/>
      <c r="I16" s="65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65"/>
      <c r="AC16" s="65"/>
      <c r="AD16" s="65"/>
      <c r="AE16" s="65"/>
    </row>
    <row r="17">
      <c r="A17" s="98"/>
      <c r="B17" s="108"/>
      <c r="C17" s="114" t="s">
        <v>453</v>
      </c>
      <c r="D17" s="65"/>
      <c r="E17" s="65"/>
      <c r="F17" s="65"/>
      <c r="G17" s="65"/>
      <c r="H17" s="113"/>
      <c r="I17" s="65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65"/>
      <c r="AC17" s="65"/>
      <c r="AD17" s="65"/>
      <c r="AE17" s="65"/>
    </row>
    <row r="18">
      <c r="A18" s="98"/>
      <c r="B18" s="12"/>
      <c r="C18" s="112" t="s">
        <v>454</v>
      </c>
      <c r="D18" s="65"/>
      <c r="E18" s="65"/>
      <c r="F18" s="65"/>
      <c r="G18" s="65"/>
      <c r="H18" s="113"/>
      <c r="I18" s="65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65"/>
      <c r="AC18" s="65"/>
      <c r="AD18" s="65"/>
      <c r="AE18" s="65"/>
    </row>
    <row r="19">
      <c r="A19" s="98"/>
      <c r="B19" s="111" t="s">
        <v>455</v>
      </c>
      <c r="C19" s="115" t="s">
        <v>456</v>
      </c>
      <c r="D19" s="65"/>
      <c r="E19" s="65"/>
      <c r="F19" s="65"/>
      <c r="G19" s="65"/>
      <c r="H19" s="65"/>
      <c r="I19" s="116"/>
      <c r="J19" s="11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65"/>
      <c r="AC19" s="65"/>
      <c r="AD19" s="65"/>
      <c r="AE19" s="65"/>
    </row>
    <row r="20">
      <c r="A20" s="98"/>
      <c r="B20" s="108"/>
      <c r="C20" s="118" t="s">
        <v>457</v>
      </c>
      <c r="D20" s="65"/>
      <c r="E20" s="65"/>
      <c r="F20" s="65"/>
      <c r="G20" s="65"/>
      <c r="H20" s="65"/>
      <c r="I20" s="117"/>
      <c r="J20" s="11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65"/>
      <c r="AC20" s="65"/>
      <c r="AD20" s="65"/>
      <c r="AE20" s="65"/>
    </row>
    <row r="21">
      <c r="A21" s="98"/>
      <c r="B21" s="108"/>
      <c r="C21" s="115" t="s">
        <v>458</v>
      </c>
      <c r="D21" s="65"/>
      <c r="E21" s="65"/>
      <c r="F21" s="65"/>
      <c r="G21" s="65"/>
      <c r="H21" s="65"/>
      <c r="I21" s="65"/>
      <c r="J21" s="117"/>
      <c r="K21" s="11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65"/>
      <c r="AC21" s="65"/>
      <c r="AD21" s="65"/>
      <c r="AE21" s="65"/>
    </row>
    <row r="22" ht="18.0" customHeight="1">
      <c r="A22" s="119"/>
      <c r="B22" s="108"/>
      <c r="C22" s="120" t="s">
        <v>459</v>
      </c>
      <c r="D22" s="107"/>
      <c r="E22" s="107"/>
      <c r="F22" s="107"/>
      <c r="G22" s="107"/>
      <c r="H22" s="107"/>
      <c r="I22" s="107"/>
      <c r="J22" s="117"/>
      <c r="K22" s="11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65"/>
      <c r="AC22" s="65"/>
      <c r="AD22" s="65"/>
      <c r="AE22" s="65"/>
    </row>
    <row r="23" ht="17.25" customHeight="1">
      <c r="A23" s="119"/>
      <c r="B23" s="108"/>
      <c r="C23" s="120" t="s">
        <v>460</v>
      </c>
      <c r="D23" s="107"/>
      <c r="E23" s="107"/>
      <c r="F23" s="107"/>
      <c r="G23" s="107"/>
      <c r="H23" s="107"/>
      <c r="I23" s="107"/>
      <c r="J23" s="107"/>
      <c r="K23" s="11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65"/>
      <c r="AC23" s="65"/>
      <c r="AD23" s="65"/>
      <c r="AE23" s="65"/>
    </row>
    <row r="24">
      <c r="A24" s="98"/>
      <c r="B24" s="108"/>
      <c r="C24" s="115" t="s">
        <v>461</v>
      </c>
      <c r="D24" s="107"/>
      <c r="E24" s="107"/>
      <c r="F24" s="107"/>
      <c r="G24" s="107"/>
      <c r="H24" s="107"/>
      <c r="I24" s="107"/>
      <c r="J24" s="107"/>
      <c r="K24" s="11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65"/>
      <c r="AC24" s="65"/>
      <c r="AD24" s="65"/>
      <c r="AE24" s="65"/>
    </row>
    <row r="25">
      <c r="A25" s="98"/>
      <c r="B25" s="108"/>
      <c r="C25" s="121" t="s">
        <v>462</v>
      </c>
      <c r="D25" s="107"/>
      <c r="E25" s="107"/>
      <c r="F25" s="107"/>
      <c r="G25" s="107"/>
      <c r="H25" s="107"/>
      <c r="I25" s="107"/>
      <c r="J25" s="107"/>
      <c r="K25" s="11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22" t="s">
        <v>463</v>
      </c>
      <c r="AB25" s="65"/>
      <c r="AC25" s="65"/>
      <c r="AD25" s="65"/>
      <c r="AE25" s="65"/>
    </row>
    <row r="26">
      <c r="A26" s="98"/>
      <c r="B26" s="12"/>
      <c r="C26" s="118" t="s">
        <v>464</v>
      </c>
      <c r="D26" s="107"/>
      <c r="E26" s="107"/>
      <c r="F26" s="107"/>
      <c r="G26" s="107"/>
      <c r="H26" s="107"/>
      <c r="I26" s="107"/>
      <c r="J26" s="117"/>
      <c r="K26" s="117"/>
      <c r="L26" s="107"/>
      <c r="M26" s="107"/>
      <c r="N26" s="107"/>
      <c r="O26" s="107"/>
      <c r="P26" s="107"/>
      <c r="Q26" s="98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65"/>
      <c r="AC26" s="65"/>
      <c r="AD26" s="65"/>
      <c r="AE26" s="65"/>
    </row>
    <row r="27">
      <c r="A27" s="98"/>
      <c r="B27" s="123" t="s">
        <v>465</v>
      </c>
      <c r="C27" s="124" t="s">
        <v>466</v>
      </c>
      <c r="D27" s="107"/>
      <c r="E27" s="107"/>
      <c r="F27" s="107"/>
      <c r="G27" s="107"/>
      <c r="H27" s="107"/>
      <c r="I27" s="107"/>
      <c r="J27" s="107"/>
      <c r="K27" s="107"/>
      <c r="L27" s="125"/>
      <c r="M27" s="125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65"/>
      <c r="AC27" s="65"/>
      <c r="AD27" s="65"/>
      <c r="AE27" s="65"/>
    </row>
    <row r="28">
      <c r="A28" s="98"/>
      <c r="B28" s="108"/>
      <c r="C28" s="126" t="s">
        <v>467</v>
      </c>
      <c r="D28" s="107"/>
      <c r="E28" s="107"/>
      <c r="F28" s="107"/>
      <c r="G28" s="107"/>
      <c r="H28" s="107"/>
      <c r="I28" s="107"/>
      <c r="J28" s="107"/>
      <c r="K28" s="107"/>
      <c r="L28" s="125"/>
      <c r="M28" s="125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65"/>
      <c r="AC28" s="65"/>
      <c r="AD28" s="65"/>
      <c r="AE28" s="65"/>
    </row>
    <row r="29">
      <c r="A29" s="98"/>
      <c r="B29" s="108"/>
      <c r="C29" s="127" t="s">
        <v>468</v>
      </c>
      <c r="D29" s="107"/>
      <c r="E29" s="107"/>
      <c r="F29" s="107"/>
      <c r="G29" s="107"/>
      <c r="H29" s="107"/>
      <c r="I29" s="107"/>
      <c r="J29" s="107"/>
      <c r="K29" s="107"/>
      <c r="L29" s="107"/>
      <c r="M29" s="125"/>
      <c r="N29" s="125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65"/>
      <c r="AC29" s="65"/>
      <c r="AD29" s="65"/>
      <c r="AE29" s="65"/>
    </row>
    <row r="30">
      <c r="A30" s="98"/>
      <c r="B30" s="108"/>
      <c r="C30" s="127" t="s">
        <v>469</v>
      </c>
      <c r="D30" s="107"/>
      <c r="E30" s="107"/>
      <c r="F30" s="107"/>
      <c r="G30" s="107"/>
      <c r="H30" s="107"/>
      <c r="I30" s="107"/>
      <c r="J30" s="107"/>
      <c r="K30" s="107"/>
      <c r="L30" s="107"/>
      <c r="M30" s="125"/>
      <c r="N30" s="125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65"/>
      <c r="AC30" s="65"/>
      <c r="AD30" s="65"/>
      <c r="AE30" s="65"/>
    </row>
    <row r="31">
      <c r="A31" s="98"/>
      <c r="B31" s="108"/>
      <c r="C31" s="127" t="s">
        <v>470</v>
      </c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25"/>
      <c r="O31" s="125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65"/>
      <c r="AC31" s="65"/>
      <c r="AD31" s="65"/>
      <c r="AE31" s="65"/>
    </row>
    <row r="32">
      <c r="A32" s="98"/>
      <c r="B32" s="108"/>
      <c r="C32" s="127" t="s">
        <v>471</v>
      </c>
      <c r="D32" s="107"/>
      <c r="E32" s="107"/>
      <c r="F32" s="107"/>
      <c r="G32" s="107"/>
      <c r="H32" s="107"/>
      <c r="I32" s="107"/>
      <c r="J32" s="107"/>
      <c r="K32" s="107"/>
      <c r="L32" s="107"/>
      <c r="M32" s="125"/>
      <c r="N32" s="125"/>
      <c r="O32" s="125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65"/>
      <c r="AC32" s="65"/>
      <c r="AD32" s="65"/>
      <c r="AE32" s="65"/>
    </row>
    <row r="33">
      <c r="A33" s="98"/>
      <c r="B33" s="12"/>
      <c r="C33" s="127" t="s">
        <v>472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25"/>
      <c r="O33" s="125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65"/>
      <c r="AC33" s="65"/>
      <c r="AD33" s="65"/>
      <c r="AE33" s="65"/>
    </row>
    <row r="34">
      <c r="A34" s="98"/>
      <c r="B34" s="111" t="s">
        <v>473</v>
      </c>
      <c r="C34" s="128" t="s">
        <v>474</v>
      </c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29"/>
      <c r="Q34" s="129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65"/>
      <c r="AC34" s="65"/>
      <c r="AD34" s="65"/>
      <c r="AE34" s="65"/>
    </row>
    <row r="35">
      <c r="A35" s="98"/>
      <c r="B35" s="108"/>
      <c r="C35" s="130" t="s">
        <v>475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29"/>
      <c r="R35" s="129"/>
      <c r="S35" s="107"/>
      <c r="T35" s="107"/>
      <c r="U35" s="107"/>
      <c r="V35" s="107"/>
      <c r="W35" s="107"/>
      <c r="X35" s="107"/>
      <c r="Y35" s="107"/>
      <c r="Z35" s="107"/>
      <c r="AA35" s="107"/>
      <c r="AB35" s="65"/>
      <c r="AC35" s="65"/>
      <c r="AD35" s="65"/>
      <c r="AE35" s="65"/>
    </row>
    <row r="36">
      <c r="A36" s="98"/>
      <c r="B36" s="108"/>
      <c r="C36" s="130" t="s">
        <v>476</v>
      </c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29"/>
      <c r="S36" s="129"/>
      <c r="T36" s="107"/>
      <c r="U36" s="107"/>
      <c r="V36" s="107"/>
      <c r="W36" s="107"/>
      <c r="X36" s="107"/>
      <c r="Y36" s="107"/>
      <c r="Z36" s="107"/>
      <c r="AA36" s="107"/>
      <c r="AB36" s="65"/>
      <c r="AC36" s="65"/>
      <c r="AD36" s="65"/>
      <c r="AE36" s="65"/>
    </row>
    <row r="37">
      <c r="A37" s="98"/>
      <c r="B37" s="108"/>
      <c r="C37" s="130" t="s">
        <v>477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29"/>
      <c r="S37" s="129"/>
      <c r="T37" s="129"/>
      <c r="U37" s="107"/>
      <c r="V37" s="107"/>
      <c r="W37" s="107"/>
      <c r="X37" s="107"/>
      <c r="Y37" s="107"/>
      <c r="Z37" s="107"/>
      <c r="AA37" s="107"/>
      <c r="AB37" s="65"/>
      <c r="AC37" s="65"/>
      <c r="AD37" s="65"/>
      <c r="AE37" s="65"/>
    </row>
    <row r="38">
      <c r="A38" s="98"/>
      <c r="B38" s="108"/>
      <c r="C38" s="130" t="s">
        <v>478</v>
      </c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29"/>
      <c r="T38" s="129"/>
      <c r="U38" s="65"/>
      <c r="V38" s="107"/>
      <c r="W38" s="107"/>
      <c r="X38" s="107"/>
      <c r="Y38" s="107"/>
      <c r="Z38" s="107"/>
      <c r="AA38" s="107"/>
      <c r="AB38" s="65"/>
      <c r="AC38" s="65"/>
      <c r="AD38" s="65"/>
      <c r="AE38" s="65"/>
    </row>
    <row r="39">
      <c r="A39" s="98"/>
      <c r="B39" s="108"/>
      <c r="C39" s="130" t="s">
        <v>479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29"/>
      <c r="U39" s="129"/>
      <c r="V39" s="107"/>
      <c r="W39" s="107"/>
      <c r="X39" s="107"/>
      <c r="Y39" s="107"/>
      <c r="Z39" s="107"/>
      <c r="AA39" s="107"/>
      <c r="AB39" s="65"/>
      <c r="AC39" s="65"/>
      <c r="AD39" s="65"/>
      <c r="AE39" s="65"/>
    </row>
    <row r="40">
      <c r="A40" s="98"/>
      <c r="B40" s="108"/>
      <c r="C40" s="131" t="s">
        <v>480</v>
      </c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29"/>
      <c r="Q40" s="129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65"/>
      <c r="AC40" s="65"/>
      <c r="AD40" s="65"/>
      <c r="AE40" s="65"/>
    </row>
    <row r="41">
      <c r="A41" s="98"/>
      <c r="B41" s="108"/>
      <c r="C41" s="130" t="s">
        <v>481</v>
      </c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29"/>
      <c r="R41" s="129"/>
      <c r="S41" s="107"/>
      <c r="T41" s="107"/>
      <c r="U41" s="107"/>
      <c r="V41" s="107"/>
      <c r="W41" s="107"/>
      <c r="X41" s="107"/>
      <c r="Y41" s="107"/>
      <c r="Z41" s="107"/>
      <c r="AA41" s="107"/>
      <c r="AB41" s="65"/>
      <c r="AC41" s="65"/>
      <c r="AD41" s="65"/>
      <c r="AE41" s="65"/>
    </row>
    <row r="42">
      <c r="A42" s="98"/>
      <c r="B42" s="108"/>
      <c r="C42" s="130" t="s">
        <v>482</v>
      </c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29"/>
      <c r="S42" s="129"/>
      <c r="T42" s="129"/>
      <c r="U42" s="107"/>
      <c r="V42" s="107"/>
      <c r="W42" s="107"/>
      <c r="X42" s="107"/>
      <c r="Y42" s="107"/>
      <c r="Z42" s="107"/>
      <c r="AA42" s="107"/>
      <c r="AB42" s="65"/>
      <c r="AC42" s="65"/>
      <c r="AD42" s="65"/>
      <c r="AE42" s="65"/>
    </row>
    <row r="43">
      <c r="A43" s="98"/>
      <c r="B43" s="108"/>
      <c r="C43" s="131" t="s">
        <v>483</v>
      </c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29"/>
      <c r="T43" s="129"/>
      <c r="U43" s="129"/>
      <c r="V43" s="107"/>
      <c r="W43" s="107"/>
      <c r="X43" s="107"/>
      <c r="Y43" s="107"/>
      <c r="Z43" s="107"/>
      <c r="AA43" s="107"/>
      <c r="AB43" s="65"/>
      <c r="AC43" s="65"/>
      <c r="AD43" s="65"/>
      <c r="AE43" s="65"/>
    </row>
    <row r="44">
      <c r="A44" s="98"/>
      <c r="B44" s="12"/>
      <c r="C44" s="130" t="s">
        <v>484</v>
      </c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29"/>
      <c r="V44" s="107"/>
      <c r="W44" s="107"/>
      <c r="X44" s="107"/>
      <c r="Y44" s="107"/>
      <c r="Z44" s="107"/>
      <c r="AA44" s="107"/>
      <c r="AB44" s="65"/>
      <c r="AC44" s="65"/>
      <c r="AD44" s="65"/>
      <c r="AE44" s="65"/>
    </row>
    <row r="45">
      <c r="A45" s="98"/>
      <c r="B45" s="132" t="s">
        <v>485</v>
      </c>
      <c r="C45" s="133" t="s">
        <v>486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34"/>
      <c r="W45" s="134"/>
      <c r="X45" s="107"/>
      <c r="Y45" s="107"/>
      <c r="Z45" s="107"/>
      <c r="AA45" s="107"/>
      <c r="AB45" s="65"/>
      <c r="AC45" s="65"/>
      <c r="AD45" s="65"/>
      <c r="AE45" s="65"/>
    </row>
    <row r="46">
      <c r="A46" s="98"/>
      <c r="B46" s="108"/>
      <c r="C46" s="133" t="s">
        <v>487</v>
      </c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34"/>
      <c r="X46" s="134"/>
      <c r="Y46" s="107"/>
      <c r="Z46" s="107"/>
      <c r="AA46" s="107"/>
      <c r="AB46" s="65"/>
      <c r="AC46" s="65"/>
      <c r="AD46" s="65"/>
      <c r="AE46" s="65"/>
    </row>
    <row r="47">
      <c r="A47" s="98"/>
      <c r="B47" s="108"/>
      <c r="C47" s="135" t="s">
        <v>488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34"/>
      <c r="X47" s="134"/>
      <c r="Y47" s="134"/>
      <c r="Z47" s="107"/>
      <c r="AA47" s="107"/>
      <c r="AB47" s="65"/>
      <c r="AC47" s="65"/>
      <c r="AD47" s="65"/>
      <c r="AE47" s="65"/>
    </row>
    <row r="48">
      <c r="A48" s="98"/>
      <c r="B48" s="108"/>
      <c r="C48" s="133" t="s">
        <v>489</v>
      </c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34"/>
      <c r="Y48" s="134"/>
      <c r="Z48" s="134"/>
      <c r="AA48" s="107"/>
      <c r="AB48" s="65"/>
      <c r="AC48" s="65"/>
      <c r="AD48" s="65"/>
      <c r="AE48" s="65"/>
    </row>
    <row r="49">
      <c r="A49" s="98"/>
      <c r="B49" s="108"/>
      <c r="C49" s="135" t="s">
        <v>490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34"/>
      <c r="Y49" s="134"/>
      <c r="Z49" s="134"/>
      <c r="AA49" s="107"/>
      <c r="AB49" s="65"/>
      <c r="AC49" s="65"/>
      <c r="AD49" s="65"/>
      <c r="AE49" s="65"/>
    </row>
    <row r="50">
      <c r="A50" s="98"/>
      <c r="B50" s="108"/>
      <c r="C50" s="133" t="s">
        <v>491</v>
      </c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34"/>
      <c r="Y50" s="134"/>
      <c r="Z50" s="107"/>
      <c r="AA50" s="107"/>
      <c r="AB50" s="65"/>
      <c r="AC50" s="65"/>
      <c r="AD50" s="65"/>
      <c r="AE50" s="65"/>
    </row>
    <row r="51">
      <c r="A51" s="98"/>
      <c r="B51" s="108"/>
      <c r="C51" s="133" t="s">
        <v>492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34"/>
      <c r="Z51" s="134"/>
      <c r="AA51" s="107"/>
      <c r="AB51" s="65"/>
      <c r="AC51" s="65"/>
      <c r="AD51" s="65"/>
      <c r="AE51" s="65"/>
    </row>
    <row r="52">
      <c r="A52" s="98"/>
      <c r="B52" s="108"/>
      <c r="C52" s="133" t="s">
        <v>493</v>
      </c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34"/>
      <c r="Z52" s="134"/>
      <c r="AA52" s="134"/>
      <c r="AB52" s="65"/>
      <c r="AC52" s="65"/>
      <c r="AD52" s="65"/>
      <c r="AE52" s="65"/>
    </row>
    <row r="53">
      <c r="A53" s="98"/>
      <c r="B53" s="108"/>
      <c r="C53" s="133" t="s">
        <v>494</v>
      </c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34"/>
      <c r="AA53" s="134"/>
      <c r="AB53" s="65"/>
      <c r="AC53" s="65"/>
      <c r="AD53" s="65"/>
      <c r="AE53" s="65"/>
    </row>
    <row r="54">
      <c r="A54" s="98"/>
      <c r="B54" s="108"/>
      <c r="C54" s="135" t="s">
        <v>495</v>
      </c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34"/>
      <c r="AA54" s="134"/>
      <c r="AB54" s="65"/>
      <c r="AC54" s="65"/>
      <c r="AD54" s="65"/>
      <c r="AE54" s="65"/>
    </row>
    <row r="55">
      <c r="A55" s="98"/>
      <c r="B55" s="12"/>
      <c r="C55" s="135" t="s">
        <v>496</v>
      </c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34"/>
      <c r="AB55" s="65"/>
      <c r="AC55" s="65"/>
      <c r="AD55" s="65"/>
      <c r="AE55" s="65"/>
    </row>
    <row r="56">
      <c r="A56" s="98"/>
      <c r="B56" s="132" t="s">
        <v>497</v>
      </c>
      <c r="C56" s="136" t="s">
        <v>498</v>
      </c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37"/>
      <c r="AC56" s="137"/>
      <c r="AD56" s="65"/>
      <c r="AE56" s="65"/>
    </row>
    <row r="57">
      <c r="A57" s="98"/>
      <c r="B57" s="108"/>
      <c r="C57" s="136" t="s">
        <v>499</v>
      </c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37"/>
      <c r="AC57" s="137"/>
      <c r="AD57" s="65"/>
      <c r="AE57" s="65"/>
    </row>
    <row r="58">
      <c r="A58" s="98"/>
      <c r="B58" s="108"/>
      <c r="C58" s="136" t="s">
        <v>500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37"/>
      <c r="AC58" s="137"/>
      <c r="AD58" s="65"/>
      <c r="AE58" s="65"/>
    </row>
    <row r="59">
      <c r="A59" s="98"/>
      <c r="B59" s="108"/>
      <c r="C59" s="136" t="s">
        <v>501</v>
      </c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37"/>
      <c r="AC59" s="137"/>
      <c r="AD59" s="65"/>
      <c r="AE59" s="65"/>
    </row>
    <row r="60">
      <c r="A60" s="98"/>
      <c r="B60" s="108"/>
      <c r="C60" s="138" t="s">
        <v>502</v>
      </c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65"/>
      <c r="AC60" s="137"/>
      <c r="AD60" s="65"/>
      <c r="AE60" s="65"/>
    </row>
    <row r="61">
      <c r="A61" s="98"/>
      <c r="B61" s="108"/>
      <c r="C61" s="138" t="s">
        <v>503</v>
      </c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65"/>
      <c r="AC61" s="137"/>
      <c r="AD61" s="65"/>
      <c r="AE61" s="65"/>
    </row>
    <row r="62">
      <c r="A62" s="98"/>
      <c r="B62" s="108"/>
      <c r="C62" s="138" t="s">
        <v>504</v>
      </c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65"/>
      <c r="AC62" s="137"/>
      <c r="AD62" s="65"/>
      <c r="AE62" s="65"/>
    </row>
    <row r="63">
      <c r="A63" s="98"/>
      <c r="B63" s="108"/>
      <c r="C63" s="136" t="s">
        <v>505</v>
      </c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65"/>
      <c r="AC63" s="137"/>
      <c r="AD63" s="65"/>
      <c r="AE63" s="65"/>
    </row>
    <row r="64">
      <c r="A64" s="98"/>
      <c r="B64" s="108"/>
      <c r="C64" s="136" t="s">
        <v>506</v>
      </c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65"/>
      <c r="AC64" s="137"/>
      <c r="AD64" s="65"/>
      <c r="AE64" s="65"/>
    </row>
    <row r="65">
      <c r="A65" s="98"/>
      <c r="B65" s="12"/>
      <c r="C65" s="138" t="s">
        <v>507</v>
      </c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65"/>
      <c r="AC65" s="137"/>
      <c r="AD65" s="65"/>
      <c r="AE65" s="65"/>
    </row>
    <row r="66">
      <c r="A66" s="98"/>
      <c r="B66" s="132" t="s">
        <v>508</v>
      </c>
      <c r="C66" s="139" t="s">
        <v>509</v>
      </c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40"/>
      <c r="AE66" s="140"/>
    </row>
    <row r="67">
      <c r="A67" s="98"/>
      <c r="B67" s="108"/>
      <c r="C67" s="141" t="s">
        <v>510</v>
      </c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40"/>
    </row>
    <row r="68">
      <c r="A68" s="98"/>
      <c r="B68" s="108"/>
      <c r="C68" s="142" t="s">
        <v>511</v>
      </c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40"/>
      <c r="AE68" s="140"/>
    </row>
    <row r="69">
      <c r="A69" s="98"/>
      <c r="B69" s="108"/>
      <c r="C69" s="141" t="s">
        <v>512</v>
      </c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40"/>
      <c r="AE69" s="140"/>
    </row>
    <row r="70">
      <c r="A70" s="98"/>
      <c r="B70" s="108"/>
      <c r="C70" s="141" t="s">
        <v>513</v>
      </c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40"/>
    </row>
    <row r="71">
      <c r="A71" s="98"/>
      <c r="B71" s="108"/>
      <c r="C71" s="141" t="s">
        <v>514</v>
      </c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40"/>
    </row>
    <row r="72">
      <c r="A72" s="98"/>
      <c r="B72" s="12"/>
      <c r="C72" s="139" t="s">
        <v>515</v>
      </c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40"/>
    </row>
    <row r="73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</row>
    <row r="74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</row>
    <row r="75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</row>
    <row r="76">
      <c r="A76" s="98"/>
      <c r="B76" s="143" t="s">
        <v>516</v>
      </c>
      <c r="C76" s="144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</row>
    <row r="77">
      <c r="A77" s="98"/>
      <c r="B77" s="122" t="s">
        <v>517</v>
      </c>
      <c r="C77" s="145">
        <v>1.624E7</v>
      </c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</row>
    <row r="78">
      <c r="A78" s="98"/>
      <c r="B78" s="122" t="s">
        <v>518</v>
      </c>
      <c r="C78" s="146">
        <v>5200000.0</v>
      </c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</row>
    <row r="79">
      <c r="A79" s="98"/>
      <c r="B79" s="122" t="s">
        <v>519</v>
      </c>
      <c r="C79" s="147">
        <v>4.75E7</v>
      </c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</row>
    <row r="80">
      <c r="A80" s="98"/>
      <c r="B80" s="122" t="s">
        <v>520</v>
      </c>
      <c r="C80" s="148">
        <v>1.65E7</v>
      </c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</row>
    <row r="81">
      <c r="A81" s="98"/>
      <c r="B81" s="149"/>
      <c r="C81" s="150">
        <f>SUM(C77:C80)</f>
        <v>85440000</v>
      </c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</row>
  </sheetData>
  <mergeCells count="15">
    <mergeCell ref="B4:B12"/>
    <mergeCell ref="B13:B18"/>
    <mergeCell ref="B19:B26"/>
    <mergeCell ref="B27:B33"/>
    <mergeCell ref="B34:B44"/>
    <mergeCell ref="B45:B55"/>
    <mergeCell ref="B56:B65"/>
    <mergeCell ref="B66:B72"/>
    <mergeCell ref="D2:G2"/>
    <mergeCell ref="H2:K2"/>
    <mergeCell ref="L2:O2"/>
    <mergeCell ref="P2:S2"/>
    <mergeCell ref="T2:W2"/>
    <mergeCell ref="X2:AA2"/>
    <mergeCell ref="AB2:AE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2025-09-22T14:23:20Z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457f2391-d25c-4923-b310-f7ddf27da956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